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nakeRiverKelt\documents\critfc_manuscript\"/>
    </mc:Choice>
  </mc:AlternateContent>
  <xr:revisionPtr revIDLastSave="0" documentId="13_ncr:1_{D5C00069-A0FC-4F9F-BDDA-D9D718FD0CEF}" xr6:coauthVersionLast="47" xr6:coauthVersionMax="47" xr10:uidLastSave="{00000000-0000-0000-0000-000000000000}"/>
  <bookViews>
    <workbookView xWindow="28695" yWindow="0" windowWidth="14610" windowHeight="15585" xr2:uid="{AB3137E2-31AC-8349-A358-C514DB33C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F16" i="1"/>
  <c r="G16" i="1"/>
  <c r="H16" i="1"/>
  <c r="C16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C11" i="1"/>
  <c r="C10" i="1"/>
  <c r="C9" i="1"/>
  <c r="E5" i="1" l="1"/>
  <c r="D5" i="1"/>
  <c r="C5" i="1"/>
  <c r="C12" i="1"/>
  <c r="F12" i="1"/>
  <c r="F5" i="1"/>
  <c r="H14" i="1"/>
  <c r="G14" i="1"/>
  <c r="F14" i="1"/>
  <c r="E14" i="1"/>
  <c r="D14" i="1"/>
  <c r="H13" i="1"/>
  <c r="G13" i="1"/>
  <c r="F13" i="1"/>
  <c r="E13" i="1"/>
  <c r="D13" i="1"/>
  <c r="C14" i="1"/>
  <c r="C13" i="1"/>
  <c r="H12" i="1"/>
  <c r="H5" i="1"/>
  <c r="G12" i="1" l="1"/>
  <c r="G5" i="1"/>
  <c r="E12" i="1" l="1"/>
  <c r="D12" i="1"/>
</calcChain>
</file>

<file path=xl/sharedStrings.xml><?xml version="1.0" encoding="utf-8"?>
<sst xmlns="http://schemas.openxmlformats.org/spreadsheetml/2006/main" count="28" uniqueCount="28">
  <si>
    <t>Detection efficiency</t>
  </si>
  <si>
    <t>Total detected (spring)</t>
  </si>
  <si>
    <t xml:space="preserve">New estimate </t>
  </si>
  <si>
    <t>New estimate (%)</t>
  </si>
  <si>
    <t>Detected (%)</t>
  </si>
  <si>
    <t>Low DE 95%</t>
  </si>
  <si>
    <t>Hi DE 95%</t>
  </si>
  <si>
    <t>Low estimate</t>
  </si>
  <si>
    <t>Hi estimate</t>
  </si>
  <si>
    <t>Low % (high)</t>
  </si>
  <si>
    <t>Hi % (low)</t>
  </si>
  <si>
    <t>Total tagged at LGR</t>
  </si>
  <si>
    <t>From NPT</t>
  </si>
  <si>
    <t xml:space="preserve"> Detection efficiency applied</t>
  </si>
  <si>
    <t>New results divided by total tagged</t>
  </si>
  <si>
    <t>Example</t>
  </si>
  <si>
    <t>138/0.06 = 2300</t>
  </si>
  <si>
    <t>2300/2798 = 82.2%</t>
  </si>
  <si>
    <t>so if detection efficiency is actually lower, than actually kelting rate would be higher</t>
  </si>
  <si>
    <t>3450/2798 = 123.3%</t>
  </si>
  <si>
    <t>1533/2798 = 54.8%</t>
  </si>
  <si>
    <t>so if detection efficiency is actually higher, than actually kelting rate would be lower</t>
  </si>
  <si>
    <t>138/0.04 = 3450</t>
  </si>
  <si>
    <t>138/0.09 = 1533</t>
  </si>
  <si>
    <t>CI for low detection (yields a higher estimate of kelting rate percent)</t>
  </si>
  <si>
    <t>CI for high detection (yields a lower estimate of kelting rate percent)</t>
  </si>
  <si>
    <t>kelt_writeup est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</si>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</sst>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9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Fill="1"/>
    <xf numFmtId="1" fontId="0" fillId="0" borderId="0" xfId="0" applyNumberFormat="1" applyFill="1"/>
    <xf numFmtId="9" fontId="0" fillId="0" borderId="0" xfId="0" applyNumberFormat="1" applyFill="1"/>
    <xf numFmtId="10" fontId="0" fillId="0" borderId="0" xfId="0" applyNumberFormat="1" applyFill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10" fontId="3" fillId="0" borderId="0" xfId="1" applyNumberFormat="1" applyFont="1"/>
    <xf numFmtId="10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BDB6-8765-1842-9409-30EEBE95754D}">
  <dimension ref="A2:L31"/>
  <sheetViews>
    <sheetView tabSelected="1" zoomScaleNormal="100" workbookViewId="0">
      <selection activeCell="C17" sqref="C17"/>
    </sheetView>
  </sheetViews>
  <sheetFormatPr defaultColWidth="11.19921875" defaultRowHeight="15.6" x14ac:dyDescent="0.3"/>
  <cols>
    <col min="2" max="2" width="19" customWidth="1"/>
    <col min="8" max="8" width="10.5" customWidth="1"/>
    <col min="9" max="9" width="9.69921875" customWidth="1"/>
    <col min="10" max="10" width="10.796875" customWidth="1"/>
    <col min="11" max="11" width="11.5" customWidth="1"/>
    <col min="12" max="12" width="16.19921875" customWidth="1"/>
  </cols>
  <sheetData>
    <row r="2" spans="1:12" x14ac:dyDescent="0.3"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</row>
    <row r="3" spans="1:12" x14ac:dyDescent="0.3">
      <c r="B3" t="s">
        <v>11</v>
      </c>
      <c r="C3">
        <v>2798</v>
      </c>
      <c r="D3">
        <v>2117</v>
      </c>
      <c r="E3">
        <v>1403</v>
      </c>
      <c r="F3">
        <v>1094</v>
      </c>
      <c r="G3">
        <v>1448</v>
      </c>
      <c r="H3">
        <v>2275</v>
      </c>
      <c r="J3" s="5"/>
      <c r="K3" s="5"/>
      <c r="L3" s="6"/>
    </row>
    <row r="4" spans="1:12" x14ac:dyDescent="0.3">
      <c r="B4" t="s">
        <v>1</v>
      </c>
      <c r="C4">
        <v>138</v>
      </c>
      <c r="D4">
        <v>31</v>
      </c>
      <c r="E4">
        <v>78</v>
      </c>
      <c r="F4">
        <v>66</v>
      </c>
      <c r="G4">
        <v>275</v>
      </c>
      <c r="H4">
        <v>489</v>
      </c>
      <c r="J4" s="6"/>
      <c r="K4" s="7"/>
      <c r="L4" s="6"/>
    </row>
    <row r="5" spans="1:12" x14ac:dyDescent="0.3">
      <c r="B5" t="s">
        <v>4</v>
      </c>
      <c r="C5" s="2">
        <f>C4/C3</f>
        <v>4.932094353109364E-2</v>
      </c>
      <c r="D5" s="2">
        <f>D4/D3</f>
        <v>1.4643363249881908E-2</v>
      </c>
      <c r="E5" s="2">
        <f>E4/E3</f>
        <v>5.5595153243050609E-2</v>
      </c>
      <c r="F5" s="2">
        <f>F4/F3</f>
        <v>6.0329067641681902E-2</v>
      </c>
      <c r="G5" s="2">
        <f t="shared" ref="D5:H5" si="0">G4/G3</f>
        <v>0.18991712707182321</v>
      </c>
      <c r="H5" s="2">
        <f t="shared" si="0"/>
        <v>0.21494505494505495</v>
      </c>
      <c r="I5" s="2"/>
      <c r="J5" s="6"/>
      <c r="K5" s="8"/>
      <c r="L5" s="8"/>
    </row>
    <row r="6" spans="1:12" x14ac:dyDescent="0.3">
      <c r="A6" s="11" t="s">
        <v>12</v>
      </c>
      <c r="B6" t="s">
        <v>0</v>
      </c>
      <c r="C6" s="1">
        <v>0.06</v>
      </c>
      <c r="D6" s="1">
        <v>0.02</v>
      </c>
      <c r="E6" s="1">
        <v>0.05</v>
      </c>
      <c r="F6" s="1">
        <v>7.0000000000000007E-2</v>
      </c>
      <c r="G6" s="1">
        <v>0.25</v>
      </c>
      <c r="H6" s="1">
        <v>0.42</v>
      </c>
      <c r="I6" s="1"/>
      <c r="J6" s="6"/>
      <c r="K6" s="8"/>
      <c r="L6" s="8"/>
    </row>
    <row r="7" spans="1:12" x14ac:dyDescent="0.3">
      <c r="A7" s="11"/>
      <c r="B7" t="s">
        <v>5</v>
      </c>
      <c r="C7" s="1">
        <v>0.04</v>
      </c>
      <c r="D7" s="1">
        <v>0.01</v>
      </c>
      <c r="E7" s="1">
        <v>0.03</v>
      </c>
      <c r="F7" s="1">
        <v>0.05</v>
      </c>
      <c r="G7" s="1">
        <v>0.2</v>
      </c>
      <c r="H7" s="1">
        <v>0.35</v>
      </c>
      <c r="I7" s="1"/>
      <c r="J7" s="6"/>
      <c r="K7" s="6"/>
      <c r="L7" s="6"/>
    </row>
    <row r="8" spans="1:12" x14ac:dyDescent="0.3">
      <c r="A8" s="11"/>
      <c r="B8" t="s">
        <v>6</v>
      </c>
      <c r="C8" s="1">
        <v>0.09</v>
      </c>
      <c r="D8" s="1">
        <v>0.04</v>
      </c>
      <c r="E8" s="1">
        <v>7.0000000000000007E-2</v>
      </c>
      <c r="F8" s="1">
        <v>0.1</v>
      </c>
      <c r="G8" s="1">
        <v>0.3</v>
      </c>
      <c r="H8" s="1">
        <v>0.49</v>
      </c>
      <c r="I8" s="1"/>
      <c r="J8" s="6"/>
      <c r="K8" s="6"/>
      <c r="L8" s="6"/>
    </row>
    <row r="9" spans="1:12" x14ac:dyDescent="0.3">
      <c r="A9" s="12" t="s">
        <v>13</v>
      </c>
      <c r="B9" t="s">
        <v>2</v>
      </c>
      <c r="C9" s="3">
        <f>MIN(C4/C6,C3)</f>
        <v>2300</v>
      </c>
      <c r="D9" s="3">
        <f t="shared" ref="D9:H9" si="1">MIN(D4/D6,D3)</f>
        <v>1550</v>
      </c>
      <c r="E9" s="3">
        <f t="shared" si="1"/>
        <v>1403</v>
      </c>
      <c r="F9" s="3">
        <f t="shared" si="1"/>
        <v>942.85714285714278</v>
      </c>
      <c r="G9" s="3">
        <f t="shared" si="1"/>
        <v>1100</v>
      </c>
      <c r="H9" s="3">
        <f t="shared" si="1"/>
        <v>1164.2857142857142</v>
      </c>
      <c r="I9" s="3"/>
      <c r="J9" s="6"/>
      <c r="K9" s="6"/>
      <c r="L9" s="6"/>
    </row>
    <row r="10" spans="1:12" x14ac:dyDescent="0.3">
      <c r="A10" s="12"/>
      <c r="B10" t="s">
        <v>7</v>
      </c>
      <c r="C10" s="3">
        <f>MIN(C4/C7,C3)</f>
        <v>2798</v>
      </c>
      <c r="D10" s="3">
        <f t="shared" ref="D10:H10" si="2">MIN(D4/D7,D3)</f>
        <v>2117</v>
      </c>
      <c r="E10" s="3">
        <f t="shared" si="2"/>
        <v>1403</v>
      </c>
      <c r="F10" s="3">
        <f t="shared" si="2"/>
        <v>1094</v>
      </c>
      <c r="G10" s="3">
        <f t="shared" si="2"/>
        <v>1375</v>
      </c>
      <c r="H10" s="3">
        <f t="shared" si="2"/>
        <v>1397.1428571428573</v>
      </c>
      <c r="I10" s="3"/>
      <c r="J10" s="6"/>
      <c r="K10" s="6"/>
      <c r="L10" s="6"/>
    </row>
    <row r="11" spans="1:12" x14ac:dyDescent="0.3">
      <c r="A11" s="12"/>
      <c r="B11" t="s">
        <v>8</v>
      </c>
      <c r="C11" s="3">
        <f>MIN(C4/C8,C3)</f>
        <v>1533.3333333333335</v>
      </c>
      <c r="D11" s="3">
        <f t="shared" ref="D11:H11" si="3">MIN(D4/D8,D3)</f>
        <v>775</v>
      </c>
      <c r="E11" s="3">
        <f t="shared" si="3"/>
        <v>1114.2857142857142</v>
      </c>
      <c r="F11" s="3">
        <f t="shared" si="3"/>
        <v>660</v>
      </c>
      <c r="G11" s="3">
        <f t="shared" si="3"/>
        <v>916.66666666666674</v>
      </c>
      <c r="H11" s="3">
        <f t="shared" si="3"/>
        <v>997.9591836734694</v>
      </c>
      <c r="I11" s="3"/>
      <c r="J11" s="6"/>
      <c r="K11" s="6"/>
      <c r="L11" s="6"/>
    </row>
    <row r="12" spans="1:12" x14ac:dyDescent="0.3">
      <c r="A12" s="12" t="s">
        <v>14</v>
      </c>
      <c r="B12" t="s">
        <v>3</v>
      </c>
      <c r="C12" s="4">
        <f>C9/C3</f>
        <v>0.82201572551822732</v>
      </c>
      <c r="D12" s="4">
        <f t="shared" ref="D12:H12" si="4">D9/D3</f>
        <v>0.73216816249409544</v>
      </c>
      <c r="E12" s="4">
        <f t="shared" si="4"/>
        <v>1</v>
      </c>
      <c r="F12" s="4">
        <f>F9/F3</f>
        <v>0.86184382345259847</v>
      </c>
      <c r="G12" s="4">
        <f t="shared" si="4"/>
        <v>0.75966850828729282</v>
      </c>
      <c r="H12" s="4">
        <f t="shared" si="4"/>
        <v>0.51177394034536894</v>
      </c>
      <c r="I12" s="4"/>
      <c r="J12" s="6"/>
      <c r="K12" s="9"/>
      <c r="L12" s="8"/>
    </row>
    <row r="13" spans="1:12" x14ac:dyDescent="0.3">
      <c r="A13" s="12"/>
      <c r="B13" t="s">
        <v>9</v>
      </c>
      <c r="C13" s="4">
        <f t="shared" ref="C13:H13" si="5">C10/C3</f>
        <v>1</v>
      </c>
      <c r="D13" s="4">
        <f t="shared" si="5"/>
        <v>1</v>
      </c>
      <c r="E13" s="4">
        <f t="shared" si="5"/>
        <v>1</v>
      </c>
      <c r="F13" s="4">
        <f t="shared" si="5"/>
        <v>1</v>
      </c>
      <c r="G13" s="4">
        <f t="shared" si="5"/>
        <v>0.949585635359116</v>
      </c>
      <c r="H13" s="4">
        <f t="shared" si="5"/>
        <v>0.61412872841444277</v>
      </c>
      <c r="I13" s="4"/>
      <c r="J13" s="9"/>
      <c r="K13" s="6"/>
      <c r="L13" s="6"/>
    </row>
    <row r="14" spans="1:12" x14ac:dyDescent="0.3">
      <c r="A14" s="12"/>
      <c r="B14" t="s">
        <v>10</v>
      </c>
      <c r="C14" s="4">
        <f t="shared" ref="C14:H14" si="6">C11/C3</f>
        <v>0.54801048367881822</v>
      </c>
      <c r="D14" s="4">
        <f t="shared" si="6"/>
        <v>0.36608408124704772</v>
      </c>
      <c r="E14" s="4">
        <f t="shared" si="6"/>
        <v>0.79421647490072289</v>
      </c>
      <c r="F14" s="4">
        <f t="shared" si="6"/>
        <v>0.60329067641681899</v>
      </c>
      <c r="G14" s="4">
        <f t="shared" si="6"/>
        <v>0.6330570902394107</v>
      </c>
      <c r="H14" s="4">
        <f t="shared" si="6"/>
        <v>0.43866337743888767</v>
      </c>
      <c r="I14" s="4"/>
      <c r="J14" s="4"/>
    </row>
    <row r="15" spans="1:12" x14ac:dyDescent="0.3">
      <c r="B15" s="13" t="s">
        <v>26</v>
      </c>
      <c r="C15" s="14">
        <v>0.66100000000000003</v>
      </c>
      <c r="D15" s="14">
        <v>0.77100000000000002</v>
      </c>
      <c r="E15" s="14">
        <v>0.82299999999999995</v>
      </c>
      <c r="F15" s="14">
        <v>0.81899999999999995</v>
      </c>
      <c r="G15" s="14">
        <v>0.79900000000000004</v>
      </c>
      <c r="H15" s="14">
        <v>0.52600000000000002</v>
      </c>
    </row>
    <row r="16" spans="1:12" x14ac:dyDescent="0.3">
      <c r="B16" s="13" t="s">
        <v>27</v>
      </c>
      <c r="C16" s="15">
        <f>C15-C12</f>
        <v>-0.16101572551822729</v>
      </c>
      <c r="D16" s="15">
        <f t="shared" ref="D16:H16" si="7">D15-D12</f>
        <v>3.8831837505904576E-2</v>
      </c>
      <c r="E16" s="15">
        <f t="shared" si="7"/>
        <v>-0.17700000000000005</v>
      </c>
      <c r="F16" s="15">
        <f t="shared" si="7"/>
        <v>-4.2843823452598517E-2</v>
      </c>
      <c r="G16" s="15">
        <f t="shared" si="7"/>
        <v>3.9331491712707223E-2</v>
      </c>
      <c r="H16" s="15">
        <f t="shared" si="7"/>
        <v>1.4226059654631085E-2</v>
      </c>
    </row>
    <row r="17" spans="3:3" x14ac:dyDescent="0.3">
      <c r="C17" t="s">
        <v>15</v>
      </c>
    </row>
    <row r="19" spans="3:3" x14ac:dyDescent="0.3">
      <c r="C19" s="10">
        <v>2016</v>
      </c>
    </row>
    <row r="20" spans="3:3" x14ac:dyDescent="0.3">
      <c r="C20" t="s">
        <v>16</v>
      </c>
    </row>
    <row r="21" spans="3:3" x14ac:dyDescent="0.3">
      <c r="C21" t="s">
        <v>17</v>
      </c>
    </row>
    <row r="23" spans="3:3" x14ac:dyDescent="0.3">
      <c r="C23" t="s">
        <v>24</v>
      </c>
    </row>
    <row r="24" spans="3:3" x14ac:dyDescent="0.3">
      <c r="C24" t="s">
        <v>22</v>
      </c>
    </row>
    <row r="25" spans="3:3" x14ac:dyDescent="0.3">
      <c r="C25" t="s">
        <v>19</v>
      </c>
    </row>
    <row r="26" spans="3:3" x14ac:dyDescent="0.3">
      <c r="C26" t="s">
        <v>18</v>
      </c>
    </row>
    <row r="28" spans="3:3" x14ac:dyDescent="0.3">
      <c r="C28" t="s">
        <v>25</v>
      </c>
    </row>
    <row r="29" spans="3:3" x14ac:dyDescent="0.3">
      <c r="C29" t="s">
        <v>23</v>
      </c>
    </row>
    <row r="30" spans="3:3" x14ac:dyDescent="0.3">
      <c r="C30" t="s">
        <v>20</v>
      </c>
    </row>
    <row r="31" spans="3:3" x14ac:dyDescent="0.3">
      <c r="C31" t="s">
        <v>21</v>
      </c>
    </row>
  </sheetData>
  <mergeCells count="3">
    <mergeCell ref="A6:A8"/>
    <mergeCell ref="A9:A11"/>
    <mergeCell ref="A1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Jenkins, Laura (ljenkins@uidaho.edu)</dc:creator>
  <cp:lastModifiedBy>Mike Ackerman</cp:lastModifiedBy>
  <dcterms:created xsi:type="dcterms:W3CDTF">2025-06-13T16:02:23Z</dcterms:created>
  <dcterms:modified xsi:type="dcterms:W3CDTF">2025-09-24T15:57:17Z</dcterms:modified>
</cp:coreProperties>
</file>