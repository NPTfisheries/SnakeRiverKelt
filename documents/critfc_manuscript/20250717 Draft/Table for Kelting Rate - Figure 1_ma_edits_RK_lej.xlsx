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jenkins/Desktop/Kelting rates and confidence intervals/"/>
    </mc:Choice>
  </mc:AlternateContent>
  <xr:revisionPtr revIDLastSave="0" documentId="13_ncr:1_{7D09EFEA-5E9C-0C4A-B2C4-0ABFD953614B}" xr6:coauthVersionLast="47" xr6:coauthVersionMax="47" xr10:uidLastSave="{00000000-0000-0000-0000-000000000000}"/>
  <bookViews>
    <workbookView xWindow="45280" yWindow="500" windowWidth="29400" windowHeight="20660" activeTab="3" xr2:uid="{AB3137E2-31AC-8349-A358-C514DB33CC0A}"/>
  </bookViews>
  <sheets>
    <sheet name="original" sheetId="2" r:id="rId1"/>
    <sheet name="ma edits" sheetId="3" r:id="rId2"/>
    <sheet name="rk edits - delta" sheetId="1" r:id="rId3"/>
    <sheet name="bs - bootstr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H18" i="4" s="1"/>
  <c r="G12" i="4"/>
  <c r="G18" i="4" s="1"/>
  <c r="F12" i="4"/>
  <c r="F18" i="4" s="1"/>
  <c r="E12" i="4"/>
  <c r="E18" i="4" s="1"/>
  <c r="D12" i="4"/>
  <c r="D18" i="4" s="1"/>
  <c r="C12" i="4"/>
  <c r="C18" i="4" s="1"/>
  <c r="H11" i="4"/>
  <c r="H17" i="4" s="1"/>
  <c r="G11" i="4"/>
  <c r="G17" i="4" s="1"/>
  <c r="F11" i="4"/>
  <c r="F17" i="4" s="1"/>
  <c r="E11" i="4"/>
  <c r="E17" i="4" s="1"/>
  <c r="D11" i="4"/>
  <c r="D17" i="4" s="1"/>
  <c r="C11" i="4"/>
  <c r="C17" i="4" s="1"/>
  <c r="H10" i="4"/>
  <c r="G10" i="4"/>
  <c r="F10" i="4"/>
  <c r="E10" i="4"/>
  <c r="D10" i="4"/>
  <c r="D16" i="4" s="1"/>
  <c r="C10" i="4"/>
  <c r="C16" i="4" s="1"/>
  <c r="H5" i="4"/>
  <c r="H13" i="4" s="1"/>
  <c r="H19" i="4" s="1"/>
  <c r="G5" i="4"/>
  <c r="G13" i="4" s="1"/>
  <c r="G19" i="4" s="1"/>
  <c r="F5" i="4"/>
  <c r="F13" i="4" s="1"/>
  <c r="F19" i="4" s="1"/>
  <c r="E5" i="4"/>
  <c r="E13" i="4" s="1"/>
  <c r="E19" i="4" s="1"/>
  <c r="D5" i="4"/>
  <c r="D13" i="4" s="1"/>
  <c r="D19" i="4" s="1"/>
  <c r="C5" i="4"/>
  <c r="C13" i="4" s="1"/>
  <c r="C19" i="4" s="1"/>
  <c r="H11" i="3"/>
  <c r="H14" i="3" s="1"/>
  <c r="G11" i="3"/>
  <c r="G14" i="3" s="1"/>
  <c r="F11" i="3"/>
  <c r="F14" i="3" s="1"/>
  <c r="E11" i="3"/>
  <c r="E14" i="3" s="1"/>
  <c r="D11" i="3"/>
  <c r="D14" i="3" s="1"/>
  <c r="C11" i="3"/>
  <c r="C14" i="3" s="1"/>
  <c r="H10" i="3"/>
  <c r="H13" i="3" s="1"/>
  <c r="G10" i="3"/>
  <c r="G13" i="3" s="1"/>
  <c r="F10" i="3"/>
  <c r="F13" i="3" s="1"/>
  <c r="E10" i="3"/>
  <c r="E13" i="3" s="1"/>
  <c r="D10" i="3"/>
  <c r="D13" i="3" s="1"/>
  <c r="C10" i="3"/>
  <c r="C13" i="3" s="1"/>
  <c r="H9" i="3"/>
  <c r="H12" i="3" s="1"/>
  <c r="H16" i="3" s="1"/>
  <c r="G9" i="3"/>
  <c r="G12" i="3" s="1"/>
  <c r="G16" i="3" s="1"/>
  <c r="F9" i="3"/>
  <c r="F12" i="3" s="1"/>
  <c r="F16" i="3" s="1"/>
  <c r="E9" i="3"/>
  <c r="E12" i="3" s="1"/>
  <c r="E16" i="3" s="1"/>
  <c r="D9" i="3"/>
  <c r="D12" i="3" s="1"/>
  <c r="D16" i="3" s="1"/>
  <c r="C9" i="3"/>
  <c r="C12" i="3" s="1"/>
  <c r="C16" i="3" s="1"/>
  <c r="H5" i="3"/>
  <c r="G5" i="3"/>
  <c r="F5" i="3"/>
  <c r="E5" i="3"/>
  <c r="D5" i="3"/>
  <c r="C5" i="3"/>
  <c r="D13" i="2"/>
  <c r="C13" i="2"/>
  <c r="H11" i="2"/>
  <c r="H14" i="2" s="1"/>
  <c r="G11" i="2"/>
  <c r="G14" i="2" s="1"/>
  <c r="F11" i="2"/>
  <c r="F14" i="2" s="1"/>
  <c r="E11" i="2"/>
  <c r="E14" i="2" s="1"/>
  <c r="D11" i="2"/>
  <c r="D14" i="2" s="1"/>
  <c r="C11" i="2"/>
  <c r="C14" i="2" s="1"/>
  <c r="H10" i="2"/>
  <c r="H13" i="2" s="1"/>
  <c r="G10" i="2"/>
  <c r="G13" i="2" s="1"/>
  <c r="F10" i="2"/>
  <c r="F13" i="2" s="1"/>
  <c r="E10" i="2"/>
  <c r="E13" i="2" s="1"/>
  <c r="D10" i="2"/>
  <c r="C10" i="2"/>
  <c r="H9" i="2"/>
  <c r="H12" i="2" s="1"/>
  <c r="G9" i="2"/>
  <c r="G12" i="2" s="1"/>
  <c r="F9" i="2"/>
  <c r="F12" i="2" s="1"/>
  <c r="E9" i="2"/>
  <c r="E12" i="2" s="1"/>
  <c r="D9" i="2"/>
  <c r="D12" i="2" s="1"/>
  <c r="C9" i="2"/>
  <c r="C12" i="2" s="1"/>
  <c r="H5" i="2"/>
  <c r="G5" i="2"/>
  <c r="F5" i="2"/>
  <c r="E5" i="2"/>
  <c r="D5" i="2"/>
  <c r="C5" i="2"/>
  <c r="D20" i="1"/>
  <c r="E20" i="1"/>
  <c r="F20" i="1"/>
  <c r="G20" i="1"/>
  <c r="H20" i="1"/>
  <c r="D21" i="1"/>
  <c r="E21" i="1"/>
  <c r="F21" i="1"/>
  <c r="G21" i="1"/>
  <c r="H21" i="1"/>
  <c r="C20" i="1"/>
  <c r="C21" i="1"/>
  <c r="C10" i="1"/>
  <c r="C16" i="1"/>
  <c r="D19" i="1"/>
  <c r="E19" i="1"/>
  <c r="F19" i="1"/>
  <c r="G19" i="1"/>
  <c r="H19" i="1"/>
  <c r="C19" i="1"/>
  <c r="C12" i="1"/>
  <c r="C18" i="1" s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C11" i="1"/>
  <c r="C17" i="1" s="1"/>
  <c r="C23" i="1"/>
  <c r="E14" i="4" l="1"/>
  <c r="F14" i="4"/>
  <c r="H14" i="4"/>
  <c r="G14" i="4"/>
  <c r="C20" i="4"/>
  <c r="C21" i="4"/>
  <c r="C23" i="4"/>
  <c r="D20" i="4"/>
  <c r="D21" i="4"/>
  <c r="D23" i="4"/>
  <c r="C15" i="4"/>
  <c r="E16" i="4"/>
  <c r="D15" i="4"/>
  <c r="F16" i="4"/>
  <c r="C14" i="4"/>
  <c r="E15" i="4"/>
  <c r="G16" i="4"/>
  <c r="D14" i="4"/>
  <c r="F15" i="4"/>
  <c r="H16" i="4"/>
  <c r="G15" i="4"/>
  <c r="H15" i="4"/>
  <c r="E5" i="1"/>
  <c r="E13" i="1" s="1"/>
  <c r="D5" i="1"/>
  <c r="D13" i="1" s="1"/>
  <c r="D15" i="1" s="1"/>
  <c r="C5" i="1"/>
  <c r="C13" i="1" s="1"/>
  <c r="F16" i="1"/>
  <c r="F23" i="1" s="1"/>
  <c r="F5" i="1"/>
  <c r="F13" i="1" s="1"/>
  <c r="H18" i="1"/>
  <c r="G18" i="1"/>
  <c r="F18" i="1"/>
  <c r="E18" i="1"/>
  <c r="D18" i="1"/>
  <c r="H17" i="1"/>
  <c r="G17" i="1"/>
  <c r="F17" i="1"/>
  <c r="E17" i="1"/>
  <c r="D17" i="1"/>
  <c r="H16" i="1"/>
  <c r="H23" i="1" s="1"/>
  <c r="H5" i="1"/>
  <c r="H13" i="1" s="1"/>
  <c r="H15" i="1" s="1"/>
  <c r="F21" i="4" l="1"/>
  <c r="F23" i="4"/>
  <c r="F20" i="4"/>
  <c r="G23" i="4"/>
  <c r="G20" i="4"/>
  <c r="G21" i="4"/>
  <c r="H23" i="4"/>
  <c r="H20" i="4"/>
  <c r="H21" i="4"/>
  <c r="E21" i="4"/>
  <c r="E23" i="4"/>
  <c r="E20" i="4"/>
  <c r="C15" i="1"/>
  <c r="C14" i="1"/>
  <c r="F15" i="1"/>
  <c r="F14" i="1"/>
  <c r="E15" i="1"/>
  <c r="E14" i="1"/>
  <c r="D14" i="1"/>
  <c r="H14" i="1"/>
  <c r="G16" i="1"/>
  <c r="G23" i="1" s="1"/>
  <c r="G5" i="1"/>
  <c r="G13" i="1" s="1"/>
  <c r="G15" i="1" l="1"/>
  <c r="G14" i="1"/>
  <c r="E16" i="1"/>
  <c r="E23" i="1" s="1"/>
  <c r="D16" i="1"/>
  <c r="D23" i="1" s="1"/>
</calcChain>
</file>

<file path=xl/sharedStrings.xml><?xml version="1.0" encoding="utf-8"?>
<sst xmlns="http://schemas.openxmlformats.org/spreadsheetml/2006/main" count="132" uniqueCount="40">
  <si>
    <t>Detection efficiency</t>
  </si>
  <si>
    <t>Total detected (spring)</t>
  </si>
  <si>
    <t xml:space="preserve">New estimate </t>
  </si>
  <si>
    <t>New estimate (%)</t>
  </si>
  <si>
    <t>Detected (%)</t>
  </si>
  <si>
    <t>Low DE 95%</t>
  </si>
  <si>
    <t>Hi DE 95%</t>
  </si>
  <si>
    <t>Low estimate</t>
  </si>
  <si>
    <t>Hi estimate</t>
  </si>
  <si>
    <t>Low % (high)</t>
  </si>
  <si>
    <t>Hi % (low)</t>
  </si>
  <si>
    <t>Total tagged at LGR</t>
  </si>
  <si>
    <t>From NPT</t>
  </si>
  <si>
    <t xml:space="preserve"> Detection efficiency applied</t>
  </si>
  <si>
    <t>New results divided by total tagged</t>
  </si>
  <si>
    <t>Example</t>
  </si>
  <si>
    <t>138/0.06 = 2300</t>
  </si>
  <si>
    <t>2300/2798 = 82.2%</t>
  </si>
  <si>
    <t>so if detection efficiency is actually lower, than actually kelting rate would be higher</t>
  </si>
  <si>
    <t>3450/2798 = 123.3%</t>
  </si>
  <si>
    <t>1533/2798 = 54.8%</t>
  </si>
  <si>
    <t>so if detection efficiency is actually higher, than actually kelting rate would be lower</t>
  </si>
  <si>
    <t>138/0.04 = 3450</t>
  </si>
  <si>
    <t>138/0.09 = 1533</t>
  </si>
  <si>
    <t>CI for low detection (yields a higher estimate of kelting rate percent)</t>
  </si>
  <si>
    <t>CI for high detection (yields a lower estimate of kelting rate percent)</t>
  </si>
  <si>
    <t>kelt_writeup est</t>
  </si>
  <si>
    <t>difference</t>
  </si>
  <si>
    <t>SE</t>
  </si>
  <si>
    <t>low</t>
  </si>
  <si>
    <t>high</t>
  </si>
  <si>
    <t>*Delta method assuming poisson distribution for tags detected.</t>
  </si>
  <si>
    <t>Var(N)</t>
  </si>
  <si>
    <t>Var(phi)</t>
  </si>
  <si>
    <t>pt_ests_only</t>
  </si>
  <si>
    <t>boot_mean</t>
  </si>
  <si>
    <t>boot_lwr95</t>
  </si>
  <si>
    <t>boot_upr95</t>
  </si>
  <si>
    <t>delta-generated 95% CI</t>
  </si>
  <si>
    <t>bootstrap-generated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</si>
</sst>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9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10" fontId="3" fillId="0" borderId="0" xfId="1" applyNumberFormat="1" applyFont="1"/>
    <xf numFmtId="10" fontId="3" fillId="0" borderId="0" xfId="0" applyNumberFormat="1" applyFont="1"/>
    <xf numFmtId="0" fontId="0" fillId="2" borderId="0" xfId="0" applyFill="1"/>
    <xf numFmtId="1" fontId="0" fillId="2" borderId="0" xfId="0" applyNumberFormat="1" applyFill="1"/>
    <xf numFmtId="10" fontId="0" fillId="2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3" borderId="0" xfId="0" applyNumberFormat="1" applyFill="1"/>
    <xf numFmtId="10" fontId="3" fillId="3" borderId="0" xfId="0" applyNumberFormat="1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6529-AF4A-9F47-ADBD-A1EEB18C11FA}">
  <dimension ref="A2:L31"/>
  <sheetViews>
    <sheetView zoomScale="160" zoomScaleNormal="160" workbookViewId="0">
      <selection activeCell="C12" sqref="C12:H12"/>
    </sheetView>
  </sheetViews>
  <sheetFormatPr baseColWidth="10" defaultRowHeight="16" x14ac:dyDescent="0.2"/>
  <cols>
    <col min="2" max="2" width="19" customWidth="1"/>
    <col min="8" max="8" width="10.5" customWidth="1"/>
    <col min="9" max="9" width="9.6640625" customWidth="1"/>
    <col min="10" max="10" width="10.83203125" customWidth="1"/>
    <col min="11" max="11" width="11.5" customWidth="1"/>
    <col min="12" max="12" width="16.1640625" customWidth="1"/>
  </cols>
  <sheetData>
    <row r="2" spans="1:12" x14ac:dyDescent="0.2"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</row>
    <row r="3" spans="1:12" x14ac:dyDescent="0.2">
      <c r="B3" t="s">
        <v>11</v>
      </c>
      <c r="C3">
        <v>2798</v>
      </c>
      <c r="D3">
        <v>2117</v>
      </c>
      <c r="E3">
        <v>1403</v>
      </c>
      <c r="F3">
        <v>1094</v>
      </c>
      <c r="G3">
        <v>1448</v>
      </c>
      <c r="H3">
        <v>2275</v>
      </c>
      <c r="J3" s="5"/>
      <c r="K3" s="5"/>
    </row>
    <row r="4" spans="1:12" x14ac:dyDescent="0.2">
      <c r="B4" t="s">
        <v>1</v>
      </c>
      <c r="C4">
        <v>138</v>
      </c>
      <c r="D4">
        <v>31</v>
      </c>
      <c r="E4">
        <v>78</v>
      </c>
      <c r="F4">
        <v>66</v>
      </c>
      <c r="G4">
        <v>275</v>
      </c>
      <c r="H4">
        <v>489</v>
      </c>
      <c r="K4" s="3"/>
    </row>
    <row r="5" spans="1:12" x14ac:dyDescent="0.2">
      <c r="B5" t="s">
        <v>4</v>
      </c>
      <c r="C5" s="2">
        <f>C4/C3</f>
        <v>4.932094353109364E-2</v>
      </c>
      <c r="D5" s="2">
        <f t="shared" ref="D5:H5" si="0">D4/D3</f>
        <v>1.4643363249881908E-2</v>
      </c>
      <c r="E5" s="2">
        <f t="shared" si="0"/>
        <v>5.5595153243050609E-2</v>
      </c>
      <c r="F5" s="2">
        <f>F4/F3</f>
        <v>6.0329067641681902E-2</v>
      </c>
      <c r="G5" s="2">
        <f t="shared" si="0"/>
        <v>0.18991712707182321</v>
      </c>
      <c r="H5" s="2">
        <f t="shared" si="0"/>
        <v>0.21494505494505495</v>
      </c>
      <c r="I5" s="2"/>
      <c r="K5" s="2"/>
      <c r="L5" s="2"/>
    </row>
    <row r="6" spans="1:12" x14ac:dyDescent="0.2">
      <c r="A6" s="15" t="s">
        <v>12</v>
      </c>
      <c r="B6" t="s">
        <v>0</v>
      </c>
      <c r="C6" s="1">
        <v>0.06</v>
      </c>
      <c r="D6" s="1">
        <v>0.02</v>
      </c>
      <c r="E6" s="1">
        <v>0.05</v>
      </c>
      <c r="F6" s="1">
        <v>7.0000000000000007E-2</v>
      </c>
      <c r="G6" s="1">
        <v>0.25</v>
      </c>
      <c r="H6" s="1">
        <v>0.42</v>
      </c>
      <c r="I6" s="1"/>
      <c r="K6" s="2"/>
      <c r="L6" s="2"/>
    </row>
    <row r="7" spans="1:12" x14ac:dyDescent="0.2">
      <c r="A7" s="15"/>
      <c r="B7" t="s">
        <v>5</v>
      </c>
      <c r="C7" s="1">
        <v>0.04</v>
      </c>
      <c r="D7" s="1">
        <v>0.01</v>
      </c>
      <c r="E7" s="1">
        <v>0.03</v>
      </c>
      <c r="F7" s="1">
        <v>0.05</v>
      </c>
      <c r="G7" s="1">
        <v>0.2</v>
      </c>
      <c r="H7" s="1">
        <v>0.35</v>
      </c>
      <c r="I7" s="1"/>
    </row>
    <row r="8" spans="1:12" x14ac:dyDescent="0.2">
      <c r="A8" s="15"/>
      <c r="B8" t="s">
        <v>6</v>
      </c>
      <c r="C8" s="1">
        <v>0.09</v>
      </c>
      <c r="D8" s="1">
        <v>0.04</v>
      </c>
      <c r="E8" s="1">
        <v>7.0000000000000007E-2</v>
      </c>
      <c r="F8" s="1">
        <v>0.1</v>
      </c>
      <c r="G8" s="1">
        <v>0.3</v>
      </c>
      <c r="H8" s="1">
        <v>0.49</v>
      </c>
      <c r="I8" s="1"/>
    </row>
    <row r="9" spans="1:12" x14ac:dyDescent="0.2">
      <c r="A9" s="16" t="s">
        <v>13</v>
      </c>
      <c r="B9" t="s">
        <v>2</v>
      </c>
      <c r="C9" s="3">
        <f>C4/C6</f>
        <v>2300</v>
      </c>
      <c r="D9" s="3">
        <f t="shared" ref="D9:H9" si="1">D4/D6</f>
        <v>1550</v>
      </c>
      <c r="E9" s="3">
        <f t="shared" si="1"/>
        <v>1560</v>
      </c>
      <c r="F9" s="3">
        <f>F4/F6</f>
        <v>942.85714285714278</v>
      </c>
      <c r="G9" s="3">
        <f t="shared" si="1"/>
        <v>1100</v>
      </c>
      <c r="H9" s="3">
        <f t="shared" si="1"/>
        <v>1164.2857142857142</v>
      </c>
      <c r="I9" s="3"/>
    </row>
    <row r="10" spans="1:12" x14ac:dyDescent="0.2">
      <c r="A10" s="16"/>
      <c r="B10" t="s">
        <v>7</v>
      </c>
      <c r="C10" s="3">
        <f>C4/C7</f>
        <v>3450</v>
      </c>
      <c r="D10" s="3">
        <f t="shared" ref="D10:H10" si="2">D4/D7</f>
        <v>3100</v>
      </c>
      <c r="E10" s="3">
        <f t="shared" si="2"/>
        <v>2600</v>
      </c>
      <c r="F10" s="3">
        <f t="shared" si="2"/>
        <v>1320</v>
      </c>
      <c r="G10" s="3">
        <f t="shared" si="2"/>
        <v>1375</v>
      </c>
      <c r="H10" s="3">
        <f t="shared" si="2"/>
        <v>1397.1428571428573</v>
      </c>
      <c r="I10" s="3"/>
    </row>
    <row r="11" spans="1:12" x14ac:dyDescent="0.2">
      <c r="A11" s="16"/>
      <c r="B11" t="s">
        <v>8</v>
      </c>
      <c r="C11" s="3">
        <f t="shared" ref="C11:H11" si="3">C4/C8</f>
        <v>1533.3333333333335</v>
      </c>
      <c r="D11" s="3">
        <f t="shared" si="3"/>
        <v>775</v>
      </c>
      <c r="E11" s="3">
        <f t="shared" si="3"/>
        <v>1114.2857142857142</v>
      </c>
      <c r="F11" s="3">
        <f t="shared" si="3"/>
        <v>660</v>
      </c>
      <c r="G11" s="3">
        <f t="shared" si="3"/>
        <v>916.66666666666674</v>
      </c>
      <c r="H11" s="3">
        <f t="shared" si="3"/>
        <v>997.9591836734694</v>
      </c>
      <c r="I11" s="3"/>
    </row>
    <row r="12" spans="1:12" x14ac:dyDescent="0.2">
      <c r="A12" s="16" t="s">
        <v>14</v>
      </c>
      <c r="B12" t="s">
        <v>3</v>
      </c>
      <c r="C12" s="17">
        <f>C9/C3</f>
        <v>0.82201572551822732</v>
      </c>
      <c r="D12" s="17">
        <f t="shared" ref="D12:H12" si="4">D9/D3</f>
        <v>0.73216816249409544</v>
      </c>
      <c r="E12" s="18">
        <f t="shared" si="4"/>
        <v>1.1119030648610122</v>
      </c>
      <c r="F12" s="17">
        <f>F9/F3</f>
        <v>0.86184382345259847</v>
      </c>
      <c r="G12" s="17">
        <f t="shared" si="4"/>
        <v>0.75966850828729282</v>
      </c>
      <c r="H12" s="17">
        <f t="shared" si="4"/>
        <v>0.51177394034536894</v>
      </c>
      <c r="I12" s="4"/>
      <c r="K12" s="4"/>
      <c r="L12" s="2"/>
    </row>
    <row r="13" spans="1:12" x14ac:dyDescent="0.2">
      <c r="A13" s="16"/>
      <c r="B13" t="s">
        <v>9</v>
      </c>
      <c r="C13" s="4">
        <f t="shared" ref="C13:H13" si="5">C10/C3</f>
        <v>1.233023588277341</v>
      </c>
      <c r="D13" s="4">
        <f t="shared" si="5"/>
        <v>1.4643363249881909</v>
      </c>
      <c r="E13" s="4">
        <f t="shared" si="5"/>
        <v>1.8531717747683536</v>
      </c>
      <c r="F13" s="4">
        <f t="shared" si="5"/>
        <v>1.206581352833638</v>
      </c>
      <c r="G13" s="4">
        <f t="shared" si="5"/>
        <v>0.949585635359116</v>
      </c>
      <c r="H13" s="4">
        <f t="shared" si="5"/>
        <v>0.61412872841444277</v>
      </c>
      <c r="I13" s="4"/>
      <c r="J13" s="4"/>
    </row>
    <row r="14" spans="1:12" x14ac:dyDescent="0.2">
      <c r="A14" s="16"/>
      <c r="B14" t="s">
        <v>10</v>
      </c>
      <c r="C14" s="4">
        <f t="shared" ref="C14:H14" si="6">C11/C3</f>
        <v>0.54801048367881822</v>
      </c>
      <c r="D14" s="4">
        <f t="shared" si="6"/>
        <v>0.36608408124704772</v>
      </c>
      <c r="E14" s="4">
        <f t="shared" si="6"/>
        <v>0.79421647490072289</v>
      </c>
      <c r="F14" s="4">
        <f t="shared" si="6"/>
        <v>0.60329067641681899</v>
      </c>
      <c r="G14" s="4">
        <f t="shared" si="6"/>
        <v>0.6330570902394107</v>
      </c>
      <c r="H14" s="4">
        <f t="shared" si="6"/>
        <v>0.43866337743888767</v>
      </c>
      <c r="I14" s="4"/>
      <c r="J14" s="4"/>
    </row>
    <row r="17" spans="3:3" x14ac:dyDescent="0.2">
      <c r="C17" t="s">
        <v>15</v>
      </c>
    </row>
    <row r="19" spans="3:3" x14ac:dyDescent="0.2">
      <c r="C19" s="6">
        <v>2016</v>
      </c>
    </row>
    <row r="20" spans="3:3" x14ac:dyDescent="0.2">
      <c r="C20" t="s">
        <v>16</v>
      </c>
    </row>
    <row r="21" spans="3:3" x14ac:dyDescent="0.2">
      <c r="C21" t="s">
        <v>17</v>
      </c>
    </row>
    <row r="23" spans="3:3" x14ac:dyDescent="0.2">
      <c r="C23" t="s">
        <v>24</v>
      </c>
    </row>
    <row r="24" spans="3:3" x14ac:dyDescent="0.2">
      <c r="C24" t="s">
        <v>22</v>
      </c>
    </row>
    <row r="25" spans="3:3" x14ac:dyDescent="0.2">
      <c r="C25" t="s">
        <v>19</v>
      </c>
    </row>
    <row r="26" spans="3:3" x14ac:dyDescent="0.2">
      <c r="C26" t="s">
        <v>18</v>
      </c>
    </row>
    <row r="28" spans="3:3" x14ac:dyDescent="0.2">
      <c r="C28" t="s">
        <v>25</v>
      </c>
    </row>
    <row r="29" spans="3:3" x14ac:dyDescent="0.2">
      <c r="C29" t="s">
        <v>23</v>
      </c>
    </row>
    <row r="30" spans="3:3" x14ac:dyDescent="0.2">
      <c r="C30" t="s">
        <v>20</v>
      </c>
    </row>
    <row r="31" spans="3:3" x14ac:dyDescent="0.2">
      <c r="C31" t="s">
        <v>21</v>
      </c>
    </row>
  </sheetData>
  <mergeCells count="3">
    <mergeCell ref="A6:A8"/>
    <mergeCell ref="A9:A11"/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B7C7-42EC-5A46-A93E-3799EC7D6338}">
  <dimension ref="A2:L31"/>
  <sheetViews>
    <sheetView zoomScaleNormal="100" workbookViewId="0">
      <selection activeCell="C12" sqref="C12:H12"/>
    </sheetView>
  </sheetViews>
  <sheetFormatPr baseColWidth="10" defaultColWidth="11.1640625" defaultRowHeight="16" x14ac:dyDescent="0.2"/>
  <cols>
    <col min="2" max="2" width="19" customWidth="1"/>
    <col min="8" max="8" width="10.5" customWidth="1"/>
    <col min="9" max="9" width="9.6640625" customWidth="1"/>
    <col min="10" max="10" width="10.83203125" customWidth="1"/>
    <col min="11" max="11" width="11.5" customWidth="1"/>
    <col min="12" max="12" width="16.1640625" customWidth="1"/>
  </cols>
  <sheetData>
    <row r="2" spans="1:12" x14ac:dyDescent="0.2"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</row>
    <row r="3" spans="1:12" x14ac:dyDescent="0.2">
      <c r="B3" t="s">
        <v>11</v>
      </c>
      <c r="C3">
        <v>2798</v>
      </c>
      <c r="D3">
        <v>2117</v>
      </c>
      <c r="E3">
        <v>1403</v>
      </c>
      <c r="F3">
        <v>1094</v>
      </c>
      <c r="G3">
        <v>1448</v>
      </c>
      <c r="H3">
        <v>2275</v>
      </c>
      <c r="J3" s="5"/>
      <c r="K3" s="5"/>
    </row>
    <row r="4" spans="1:12" x14ac:dyDescent="0.2">
      <c r="B4" t="s">
        <v>1</v>
      </c>
      <c r="C4">
        <v>138</v>
      </c>
      <c r="D4">
        <v>31</v>
      </c>
      <c r="E4">
        <v>78</v>
      </c>
      <c r="F4">
        <v>66</v>
      </c>
      <c r="G4">
        <v>275</v>
      </c>
      <c r="H4">
        <v>489</v>
      </c>
      <c r="K4" s="3"/>
    </row>
    <row r="5" spans="1:12" x14ac:dyDescent="0.2">
      <c r="B5" t="s">
        <v>4</v>
      </c>
      <c r="C5" s="2">
        <f>C4/C3</f>
        <v>4.932094353109364E-2</v>
      </c>
      <c r="D5" s="2">
        <f>D4/D3</f>
        <v>1.4643363249881908E-2</v>
      </c>
      <c r="E5" s="2">
        <f>E4/E3</f>
        <v>5.5595153243050609E-2</v>
      </c>
      <c r="F5" s="2">
        <f>F4/F3</f>
        <v>6.0329067641681902E-2</v>
      </c>
      <c r="G5" s="2">
        <f t="shared" ref="G5:H5" si="0">G4/G3</f>
        <v>0.18991712707182321</v>
      </c>
      <c r="H5" s="2">
        <f t="shared" si="0"/>
        <v>0.21494505494505495</v>
      </c>
      <c r="I5" s="2"/>
      <c r="K5" s="2"/>
      <c r="L5" s="2"/>
    </row>
    <row r="6" spans="1:12" x14ac:dyDescent="0.2">
      <c r="A6" s="15" t="s">
        <v>12</v>
      </c>
      <c r="B6" t="s">
        <v>0</v>
      </c>
      <c r="C6" s="1">
        <v>0.06</v>
      </c>
      <c r="D6" s="1">
        <v>0.02</v>
      </c>
      <c r="E6" s="1">
        <v>0.05</v>
      </c>
      <c r="F6" s="1">
        <v>7.0000000000000007E-2</v>
      </c>
      <c r="G6" s="1">
        <v>0.25</v>
      </c>
      <c r="H6" s="1">
        <v>0.42</v>
      </c>
      <c r="I6" s="1"/>
      <c r="K6" s="2"/>
      <c r="L6" s="2"/>
    </row>
    <row r="7" spans="1:12" x14ac:dyDescent="0.2">
      <c r="A7" s="15"/>
      <c r="B7" t="s">
        <v>5</v>
      </c>
      <c r="C7" s="1">
        <v>0.04</v>
      </c>
      <c r="D7" s="1">
        <v>0.01</v>
      </c>
      <c r="E7" s="1">
        <v>0.03</v>
      </c>
      <c r="F7" s="1">
        <v>0.05</v>
      </c>
      <c r="G7" s="1">
        <v>0.2</v>
      </c>
      <c r="H7" s="1">
        <v>0.35</v>
      </c>
      <c r="I7" s="1"/>
    </row>
    <row r="8" spans="1:12" x14ac:dyDescent="0.2">
      <c r="A8" s="15"/>
      <c r="B8" t="s">
        <v>6</v>
      </c>
      <c r="C8" s="1">
        <v>0.09</v>
      </c>
      <c r="D8" s="1">
        <v>0.04</v>
      </c>
      <c r="E8" s="1">
        <v>7.0000000000000007E-2</v>
      </c>
      <c r="F8" s="1">
        <v>0.1</v>
      </c>
      <c r="G8" s="1">
        <v>0.3</v>
      </c>
      <c r="H8" s="1">
        <v>0.49</v>
      </c>
      <c r="I8" s="1"/>
    </row>
    <row r="9" spans="1:12" x14ac:dyDescent="0.2">
      <c r="A9" s="16" t="s">
        <v>13</v>
      </c>
      <c r="B9" t="s">
        <v>2</v>
      </c>
      <c r="C9" s="3">
        <f>MIN(C4/C6,C3)</f>
        <v>2300</v>
      </c>
      <c r="D9" s="3">
        <f t="shared" ref="D9:H9" si="1">MIN(D4/D6,D3)</f>
        <v>1550</v>
      </c>
      <c r="E9" s="3">
        <f t="shared" si="1"/>
        <v>1403</v>
      </c>
      <c r="F9" s="3">
        <f t="shared" si="1"/>
        <v>942.85714285714278</v>
      </c>
      <c r="G9" s="3">
        <f t="shared" si="1"/>
        <v>1100</v>
      </c>
      <c r="H9" s="3">
        <f t="shared" si="1"/>
        <v>1164.2857142857142</v>
      </c>
      <c r="I9" s="3"/>
    </row>
    <row r="10" spans="1:12" x14ac:dyDescent="0.2">
      <c r="A10" s="16"/>
      <c r="B10" t="s">
        <v>7</v>
      </c>
      <c r="C10" s="3">
        <f>MIN(C4/C7,C3)</f>
        <v>2798</v>
      </c>
      <c r="D10" s="3">
        <f t="shared" ref="D10:H10" si="2">MIN(D4/D7,D3)</f>
        <v>2117</v>
      </c>
      <c r="E10" s="3">
        <f t="shared" si="2"/>
        <v>1403</v>
      </c>
      <c r="F10" s="3">
        <f t="shared" si="2"/>
        <v>1094</v>
      </c>
      <c r="G10" s="3">
        <f t="shared" si="2"/>
        <v>1375</v>
      </c>
      <c r="H10" s="3">
        <f t="shared" si="2"/>
        <v>1397.1428571428573</v>
      </c>
      <c r="I10" s="3"/>
    </row>
    <row r="11" spans="1:12" x14ac:dyDescent="0.2">
      <c r="A11" s="16"/>
      <c r="B11" t="s">
        <v>8</v>
      </c>
      <c r="C11" s="3">
        <f>MIN(C4/C8,C3)</f>
        <v>1533.3333333333335</v>
      </c>
      <c r="D11" s="3">
        <f t="shared" ref="D11:H11" si="3">MIN(D4/D8,D3)</f>
        <v>775</v>
      </c>
      <c r="E11" s="3">
        <f t="shared" si="3"/>
        <v>1114.2857142857142</v>
      </c>
      <c r="F11" s="3">
        <f t="shared" si="3"/>
        <v>660</v>
      </c>
      <c r="G11" s="3">
        <f t="shared" si="3"/>
        <v>916.66666666666674</v>
      </c>
      <c r="H11" s="3">
        <f t="shared" si="3"/>
        <v>997.9591836734694</v>
      </c>
      <c r="I11" s="3"/>
    </row>
    <row r="12" spans="1:12" x14ac:dyDescent="0.2">
      <c r="A12" s="16" t="s">
        <v>14</v>
      </c>
      <c r="B12" t="s">
        <v>3</v>
      </c>
      <c r="C12" s="17">
        <f>C9/C3</f>
        <v>0.82201572551822732</v>
      </c>
      <c r="D12" s="17">
        <f t="shared" ref="D12:H12" si="4">D9/D3</f>
        <v>0.73216816249409544</v>
      </c>
      <c r="E12" s="17">
        <f t="shared" si="4"/>
        <v>1</v>
      </c>
      <c r="F12" s="17">
        <f>F9/F3</f>
        <v>0.86184382345259847</v>
      </c>
      <c r="G12" s="17">
        <f t="shared" si="4"/>
        <v>0.75966850828729282</v>
      </c>
      <c r="H12" s="17">
        <f t="shared" si="4"/>
        <v>0.51177394034536894</v>
      </c>
      <c r="I12" s="4"/>
      <c r="K12" s="4"/>
      <c r="L12" s="2"/>
    </row>
    <row r="13" spans="1:12" x14ac:dyDescent="0.2">
      <c r="A13" s="16"/>
      <c r="B13" t="s">
        <v>9</v>
      </c>
      <c r="C13" s="4">
        <f t="shared" ref="C13:H13" si="5">C10/C3</f>
        <v>1</v>
      </c>
      <c r="D13" s="4">
        <f t="shared" si="5"/>
        <v>1</v>
      </c>
      <c r="E13" s="4">
        <f t="shared" si="5"/>
        <v>1</v>
      </c>
      <c r="F13" s="4">
        <f t="shared" si="5"/>
        <v>1</v>
      </c>
      <c r="G13" s="4">
        <f t="shared" si="5"/>
        <v>0.949585635359116</v>
      </c>
      <c r="H13" s="4">
        <f t="shared" si="5"/>
        <v>0.61412872841444277</v>
      </c>
      <c r="I13" s="4"/>
      <c r="J13" s="4"/>
    </row>
    <row r="14" spans="1:12" x14ac:dyDescent="0.2">
      <c r="A14" s="16"/>
      <c r="B14" t="s">
        <v>10</v>
      </c>
      <c r="C14" s="4">
        <f t="shared" ref="C14:H14" si="6">C11/C3</f>
        <v>0.54801048367881822</v>
      </c>
      <c r="D14" s="4">
        <f t="shared" si="6"/>
        <v>0.36608408124704772</v>
      </c>
      <c r="E14" s="4">
        <f t="shared" si="6"/>
        <v>0.79421647490072289</v>
      </c>
      <c r="F14" s="4">
        <f t="shared" si="6"/>
        <v>0.60329067641681899</v>
      </c>
      <c r="G14" s="4">
        <f t="shared" si="6"/>
        <v>0.6330570902394107</v>
      </c>
      <c r="H14" s="4">
        <f t="shared" si="6"/>
        <v>0.43866337743888767</v>
      </c>
      <c r="I14" s="4"/>
      <c r="J14" s="4"/>
    </row>
    <row r="15" spans="1:12" x14ac:dyDescent="0.2">
      <c r="B15" s="9" t="s">
        <v>26</v>
      </c>
      <c r="C15" s="10">
        <v>0.66100000000000003</v>
      </c>
      <c r="D15" s="10">
        <v>0.77100000000000002</v>
      </c>
      <c r="E15" s="10">
        <v>0.82299999999999995</v>
      </c>
      <c r="F15" s="10">
        <v>0.81899999999999995</v>
      </c>
      <c r="G15" s="10">
        <v>0.79900000000000004</v>
      </c>
      <c r="H15" s="10">
        <v>0.52600000000000002</v>
      </c>
    </row>
    <row r="16" spans="1:12" x14ac:dyDescent="0.2">
      <c r="B16" s="9" t="s">
        <v>27</v>
      </c>
      <c r="C16" s="11">
        <f>C15-C12</f>
        <v>-0.16101572551822729</v>
      </c>
      <c r="D16" s="11">
        <f t="shared" ref="D16:H16" si="7">D15-D12</f>
        <v>3.8831837505904576E-2</v>
      </c>
      <c r="E16" s="11">
        <f t="shared" si="7"/>
        <v>-0.17700000000000005</v>
      </c>
      <c r="F16" s="11">
        <f t="shared" si="7"/>
        <v>-4.2843823452598517E-2</v>
      </c>
      <c r="G16" s="11">
        <f t="shared" si="7"/>
        <v>3.9331491712707223E-2</v>
      </c>
      <c r="H16" s="11">
        <f t="shared" si="7"/>
        <v>1.4226059654631085E-2</v>
      </c>
    </row>
    <row r="17" spans="3:3" x14ac:dyDescent="0.2">
      <c r="C17" t="s">
        <v>15</v>
      </c>
    </row>
    <row r="19" spans="3:3" x14ac:dyDescent="0.2">
      <c r="C19" s="6">
        <v>2016</v>
      </c>
    </row>
    <row r="20" spans="3:3" x14ac:dyDescent="0.2">
      <c r="C20" t="s">
        <v>16</v>
      </c>
    </row>
    <row r="21" spans="3:3" x14ac:dyDescent="0.2">
      <c r="C21" t="s">
        <v>17</v>
      </c>
    </row>
    <row r="23" spans="3:3" x14ac:dyDescent="0.2">
      <c r="C23" t="s">
        <v>24</v>
      </c>
    </row>
    <row r="24" spans="3:3" x14ac:dyDescent="0.2">
      <c r="C24" t="s">
        <v>22</v>
      </c>
    </row>
    <row r="25" spans="3:3" x14ac:dyDescent="0.2">
      <c r="C25" t="s">
        <v>19</v>
      </c>
    </row>
    <row r="26" spans="3:3" x14ac:dyDescent="0.2">
      <c r="C26" t="s">
        <v>18</v>
      </c>
    </row>
    <row r="28" spans="3:3" x14ac:dyDescent="0.2">
      <c r="C28" t="s">
        <v>25</v>
      </c>
    </row>
    <row r="29" spans="3:3" x14ac:dyDescent="0.2">
      <c r="C29" t="s">
        <v>23</v>
      </c>
    </row>
    <row r="30" spans="3:3" x14ac:dyDescent="0.2">
      <c r="C30" t="s">
        <v>20</v>
      </c>
    </row>
    <row r="31" spans="3:3" x14ac:dyDescent="0.2">
      <c r="C31" t="s">
        <v>21</v>
      </c>
    </row>
  </sheetData>
  <mergeCells count="3">
    <mergeCell ref="A6:A8"/>
    <mergeCell ref="A9:A11"/>
    <mergeCell ref="A1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BDB6-8765-1842-9409-30EEBE95754D}">
  <dimension ref="A2:L38"/>
  <sheetViews>
    <sheetView zoomScaleNormal="100" workbookViewId="0">
      <selection activeCell="J24" sqref="J24"/>
    </sheetView>
  </sheetViews>
  <sheetFormatPr baseColWidth="10" defaultColWidth="11.1640625" defaultRowHeight="16" x14ac:dyDescent="0.2"/>
  <cols>
    <col min="2" max="2" width="19" customWidth="1"/>
    <col min="8" max="8" width="10.5" customWidth="1"/>
    <col min="9" max="9" width="9.6640625" customWidth="1"/>
    <col min="10" max="10" width="10.6640625" customWidth="1"/>
    <col min="11" max="11" width="11.5" customWidth="1"/>
    <col min="12" max="12" width="16.1640625" customWidth="1"/>
  </cols>
  <sheetData>
    <row r="2" spans="1:12" x14ac:dyDescent="0.2"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</row>
    <row r="3" spans="1:12" x14ac:dyDescent="0.2">
      <c r="B3" t="s">
        <v>11</v>
      </c>
      <c r="C3">
        <v>2798</v>
      </c>
      <c r="D3">
        <v>2117</v>
      </c>
      <c r="E3">
        <v>1403</v>
      </c>
      <c r="F3">
        <v>1094</v>
      </c>
      <c r="G3">
        <v>1448</v>
      </c>
      <c r="H3">
        <v>2275</v>
      </c>
      <c r="J3" s="5"/>
      <c r="K3" s="5"/>
    </row>
    <row r="4" spans="1:12" x14ac:dyDescent="0.2">
      <c r="B4" t="s">
        <v>1</v>
      </c>
      <c r="C4">
        <v>138</v>
      </c>
      <c r="D4">
        <v>31</v>
      </c>
      <c r="E4">
        <v>78</v>
      </c>
      <c r="F4">
        <v>66</v>
      </c>
      <c r="G4">
        <v>275</v>
      </c>
      <c r="H4">
        <v>489</v>
      </c>
      <c r="K4" s="3"/>
    </row>
    <row r="5" spans="1:12" x14ac:dyDescent="0.2">
      <c r="B5" t="s">
        <v>4</v>
      </c>
      <c r="C5" s="2">
        <f>C4/C3</f>
        <v>4.932094353109364E-2</v>
      </c>
      <c r="D5" s="2">
        <f>D4/D3</f>
        <v>1.4643363249881908E-2</v>
      </c>
      <c r="E5" s="2">
        <f>E4/E3</f>
        <v>5.5595153243050609E-2</v>
      </c>
      <c r="F5" s="2">
        <f>F4/F3</f>
        <v>6.0329067641681902E-2</v>
      </c>
      <c r="G5" s="2">
        <f t="shared" ref="G5:H5" si="0">G4/G3</f>
        <v>0.18991712707182321</v>
      </c>
      <c r="H5" s="2">
        <f t="shared" si="0"/>
        <v>0.21494505494505495</v>
      </c>
      <c r="I5" s="2"/>
      <c r="K5" s="2"/>
      <c r="L5" s="2"/>
    </row>
    <row r="6" spans="1:12" x14ac:dyDescent="0.2">
      <c r="A6" s="15" t="s">
        <v>12</v>
      </c>
      <c r="B6" t="s">
        <v>0</v>
      </c>
      <c r="C6" s="1">
        <v>0.06</v>
      </c>
      <c r="D6" s="1">
        <v>0.02</v>
      </c>
      <c r="E6" s="1">
        <v>0.05</v>
      </c>
      <c r="F6" s="1">
        <v>7.0000000000000007E-2</v>
      </c>
      <c r="G6" s="1">
        <v>0.25</v>
      </c>
      <c r="H6" s="1">
        <v>0.42</v>
      </c>
      <c r="I6" s="1"/>
      <c r="K6" s="2"/>
      <c r="L6" s="2"/>
    </row>
    <row r="7" spans="1:12" x14ac:dyDescent="0.2">
      <c r="A7" s="15"/>
      <c r="B7" t="s">
        <v>5</v>
      </c>
      <c r="C7" s="1">
        <v>0.04</v>
      </c>
      <c r="D7" s="1">
        <v>0.01</v>
      </c>
      <c r="E7" s="1">
        <v>0.03</v>
      </c>
      <c r="F7" s="1">
        <v>0.05</v>
      </c>
      <c r="G7" s="1">
        <v>0.2</v>
      </c>
      <c r="H7" s="1">
        <v>0.35</v>
      </c>
      <c r="I7" s="1"/>
    </row>
    <row r="8" spans="1:12" x14ac:dyDescent="0.2">
      <c r="A8" s="15"/>
      <c r="B8" t="s">
        <v>6</v>
      </c>
      <c r="C8" s="1">
        <v>0.09</v>
      </c>
      <c r="D8" s="1">
        <v>0.04</v>
      </c>
      <c r="E8" s="1">
        <v>7.0000000000000007E-2</v>
      </c>
      <c r="F8" s="1">
        <v>0.1</v>
      </c>
      <c r="G8" s="1">
        <v>0.3</v>
      </c>
      <c r="H8" s="1">
        <v>0.49</v>
      </c>
      <c r="I8" s="1"/>
    </row>
    <row r="9" spans="1:12" x14ac:dyDescent="0.2">
      <c r="A9" s="7"/>
      <c r="B9" s="12" t="s">
        <v>28</v>
      </c>
      <c r="C9" s="12">
        <v>0.01</v>
      </c>
      <c r="D9" s="12">
        <v>0.01</v>
      </c>
      <c r="E9" s="12">
        <v>0.01</v>
      </c>
      <c r="F9" s="12">
        <v>0.01</v>
      </c>
      <c r="G9" s="12">
        <v>0.02</v>
      </c>
      <c r="H9" s="12">
        <v>0.03</v>
      </c>
      <c r="I9" s="1"/>
    </row>
    <row r="10" spans="1:12" x14ac:dyDescent="0.2">
      <c r="A10" s="16" t="s">
        <v>13</v>
      </c>
      <c r="B10" t="s">
        <v>2</v>
      </c>
      <c r="C10" s="3">
        <f>MIN(C4/C6,C3)</f>
        <v>2300</v>
      </c>
      <c r="D10" s="3">
        <f t="shared" ref="D10:H10" si="1">MIN(D4/D6,D3)</f>
        <v>1550</v>
      </c>
      <c r="E10" s="3">
        <f t="shared" si="1"/>
        <v>1403</v>
      </c>
      <c r="F10" s="3">
        <f t="shared" si="1"/>
        <v>942.85714285714278</v>
      </c>
      <c r="G10" s="3">
        <f t="shared" si="1"/>
        <v>1100</v>
      </c>
      <c r="H10" s="3">
        <f t="shared" si="1"/>
        <v>1164.2857142857142</v>
      </c>
      <c r="I10" s="3"/>
    </row>
    <row r="11" spans="1:12" x14ac:dyDescent="0.2">
      <c r="A11" s="16"/>
      <c r="B11" t="s">
        <v>7</v>
      </c>
      <c r="C11" s="3">
        <f>MIN(C4/C7,C3)</f>
        <v>2798</v>
      </c>
      <c r="D11" s="3">
        <f t="shared" ref="D11:H11" si="2">MIN(D4/D7,D3)</f>
        <v>2117</v>
      </c>
      <c r="E11" s="3">
        <f t="shared" si="2"/>
        <v>1403</v>
      </c>
      <c r="F11" s="3">
        <f t="shared" si="2"/>
        <v>1094</v>
      </c>
      <c r="G11" s="3">
        <f t="shared" si="2"/>
        <v>1375</v>
      </c>
      <c r="H11" s="3">
        <f t="shared" si="2"/>
        <v>1397.1428571428573</v>
      </c>
      <c r="I11" s="3"/>
    </row>
    <row r="12" spans="1:12" x14ac:dyDescent="0.2">
      <c r="A12" s="16"/>
      <c r="B12" t="s">
        <v>8</v>
      </c>
      <c r="C12" s="3">
        <f>MIN(C4/C8,C3)</f>
        <v>1533.3333333333335</v>
      </c>
      <c r="D12" s="3">
        <f t="shared" ref="D12:H12" si="3">MIN(D4/D8,D3)</f>
        <v>775</v>
      </c>
      <c r="E12" s="3">
        <f t="shared" si="3"/>
        <v>1114.2857142857142</v>
      </c>
      <c r="F12" s="3">
        <f t="shared" si="3"/>
        <v>660</v>
      </c>
      <c r="G12" s="3">
        <f t="shared" si="3"/>
        <v>916.66666666666674</v>
      </c>
      <c r="H12" s="3">
        <f t="shared" si="3"/>
        <v>997.9591836734694</v>
      </c>
      <c r="I12" s="3"/>
    </row>
    <row r="13" spans="1:12" x14ac:dyDescent="0.2">
      <c r="A13" s="8"/>
      <c r="B13" s="12" t="s">
        <v>32</v>
      </c>
      <c r="C13" s="13">
        <f>(C4/C5^2) + ((C4^2/C5^4)*(C9^2))</f>
        <v>378565.01570266753</v>
      </c>
      <c r="D13" s="13">
        <f t="shared" ref="D13:H13" si="4">(D4/D5^2) + ((D4^2/D5^4)*(D9^2))</f>
        <v>2234636.8244246622</v>
      </c>
      <c r="E13" s="13">
        <f t="shared" si="4"/>
        <v>88921.64712822155</v>
      </c>
      <c r="F13" s="13">
        <f t="shared" si="4"/>
        <v>51017.63477722682</v>
      </c>
      <c r="G13" s="13">
        <f t="shared" si="4"/>
        <v>30876.835245572227</v>
      </c>
      <c r="H13" s="13">
        <f t="shared" si="4"/>
        <v>111404.95962948674</v>
      </c>
      <c r="I13" s="3" t="s">
        <v>31</v>
      </c>
    </row>
    <row r="14" spans="1:12" x14ac:dyDescent="0.2">
      <c r="A14" s="8"/>
      <c r="B14" s="12" t="s">
        <v>29</v>
      </c>
      <c r="C14" s="13">
        <f>MAX(C4,C$10 - 1.96*SQRT(C$13))</f>
        <v>1094.0583080748193</v>
      </c>
      <c r="D14" s="13">
        <f>MAX(D4,D$10 - 1.96*SQRT(D$13))</f>
        <v>31</v>
      </c>
      <c r="E14" s="13">
        <f t="shared" ref="E14:H14" si="5">MAX(E4,E$10 - 1.96*SQRT(E$13))</f>
        <v>818.53323481332495</v>
      </c>
      <c r="F14" s="13">
        <f t="shared" si="5"/>
        <v>500.15030333442371</v>
      </c>
      <c r="G14" s="13">
        <f t="shared" si="5"/>
        <v>755.59261001048435</v>
      </c>
      <c r="H14" s="13">
        <f t="shared" si="5"/>
        <v>510.08903673939994</v>
      </c>
      <c r="I14" s="3"/>
    </row>
    <row r="15" spans="1:12" x14ac:dyDescent="0.2">
      <c r="A15" s="8"/>
      <c r="B15" s="12" t="s">
        <v>30</v>
      </c>
      <c r="C15" s="13">
        <f t="shared" ref="C15:H15" si="6">MIN(C3,C$10 + 1.96*SQRT(C$13))</f>
        <v>2798</v>
      </c>
      <c r="D15" s="13">
        <f t="shared" si="6"/>
        <v>2117</v>
      </c>
      <c r="E15" s="13">
        <f t="shared" si="6"/>
        <v>1403</v>
      </c>
      <c r="F15" s="13">
        <f t="shared" si="6"/>
        <v>1094</v>
      </c>
      <c r="G15" s="13">
        <f t="shared" si="6"/>
        <v>1444.4073899895157</v>
      </c>
      <c r="H15" s="13">
        <f t="shared" si="6"/>
        <v>1818.4823918320285</v>
      </c>
      <c r="I15" s="3"/>
    </row>
    <row r="16" spans="1:12" x14ac:dyDescent="0.2">
      <c r="A16" s="16" t="s">
        <v>14</v>
      </c>
      <c r="B16" t="s">
        <v>3</v>
      </c>
      <c r="C16" s="17">
        <f>C10/C3</f>
        <v>0.82201572551822732</v>
      </c>
      <c r="D16" s="17">
        <f t="shared" ref="D16:H16" si="7">D10/D3</f>
        <v>0.73216816249409544</v>
      </c>
      <c r="E16" s="17">
        <f t="shared" si="7"/>
        <v>1</v>
      </c>
      <c r="F16" s="17">
        <f>F10/F3</f>
        <v>0.86184382345259847</v>
      </c>
      <c r="G16" s="17">
        <f t="shared" si="7"/>
        <v>0.75966850828729282</v>
      </c>
      <c r="H16" s="17">
        <f t="shared" si="7"/>
        <v>0.51177394034536894</v>
      </c>
      <c r="I16" s="4"/>
      <c r="K16" s="4"/>
      <c r="L16" s="2"/>
    </row>
    <row r="17" spans="1:10" x14ac:dyDescent="0.2">
      <c r="A17" s="16"/>
      <c r="B17" t="s">
        <v>9</v>
      </c>
      <c r="C17" s="4">
        <f t="shared" ref="C17:H17" si="8">C11/C3</f>
        <v>1</v>
      </c>
      <c r="D17" s="4">
        <f t="shared" si="8"/>
        <v>1</v>
      </c>
      <c r="E17" s="4">
        <f t="shared" si="8"/>
        <v>1</v>
      </c>
      <c r="F17" s="4">
        <f t="shared" si="8"/>
        <v>1</v>
      </c>
      <c r="G17" s="4">
        <f t="shared" si="8"/>
        <v>0.949585635359116</v>
      </c>
      <c r="H17" s="4">
        <f t="shared" si="8"/>
        <v>0.61412872841444277</v>
      </c>
      <c r="I17" s="4"/>
      <c r="J17" s="4"/>
    </row>
    <row r="18" spans="1:10" x14ac:dyDescent="0.2">
      <c r="A18" s="16"/>
      <c r="B18" t="s">
        <v>10</v>
      </c>
      <c r="C18" s="4">
        <f t="shared" ref="C18:H18" si="9">C12/C3</f>
        <v>0.54801048367881822</v>
      </c>
      <c r="D18" s="4">
        <f t="shared" si="9"/>
        <v>0.36608408124704772</v>
      </c>
      <c r="E18" s="4">
        <f t="shared" si="9"/>
        <v>0.79421647490072289</v>
      </c>
      <c r="F18" s="4">
        <f t="shared" si="9"/>
        <v>0.60329067641681899</v>
      </c>
      <c r="G18" s="4">
        <f t="shared" si="9"/>
        <v>0.6330570902394107</v>
      </c>
      <c r="H18" s="4">
        <f t="shared" si="9"/>
        <v>0.43866337743888767</v>
      </c>
      <c r="I18" s="4"/>
      <c r="J18" s="4"/>
    </row>
    <row r="19" spans="1:10" x14ac:dyDescent="0.2">
      <c r="A19" s="8"/>
      <c r="B19" s="12" t="s">
        <v>33</v>
      </c>
      <c r="C19" s="12">
        <f>C13/C3^2</f>
        <v>4.8355408527620249E-2</v>
      </c>
      <c r="D19" s="12">
        <f t="shared" ref="D19:H19" si="10">D13/D3^2</f>
        <v>0.49861488033298657</v>
      </c>
      <c r="E19" s="12">
        <f t="shared" si="10"/>
        <v>4.5174375410913868E-2</v>
      </c>
      <c r="F19" s="12">
        <f t="shared" si="10"/>
        <v>4.2627089072543624E-2</v>
      </c>
      <c r="G19" s="12">
        <f t="shared" si="10"/>
        <v>1.4726368264462808E-2</v>
      </c>
      <c r="H19" s="12">
        <f t="shared" si="10"/>
        <v>2.1524928801736357E-2</v>
      </c>
      <c r="I19" s="4"/>
      <c r="J19" s="4"/>
    </row>
    <row r="20" spans="1:10" x14ac:dyDescent="0.2">
      <c r="A20" s="8"/>
      <c r="B20" s="12" t="s">
        <v>29</v>
      </c>
      <c r="C20" s="14">
        <f>MAX(0,C16 - 1.96*SQRT(C19))</f>
        <v>0.3910144060310291</v>
      </c>
      <c r="D20" s="14">
        <f t="shared" ref="D20:H20" si="11">MAX(0,D16 - 1.96*SQRT(D19))</f>
        <v>0</v>
      </c>
      <c r="E20" s="14">
        <f t="shared" si="11"/>
        <v>0.5834164182561119</v>
      </c>
      <c r="F20" s="14">
        <f t="shared" si="11"/>
        <v>0.45717578001318432</v>
      </c>
      <c r="G20" s="14">
        <f t="shared" si="11"/>
        <v>0.52181810083596991</v>
      </c>
      <c r="H20" s="14">
        <f t="shared" si="11"/>
        <v>0.22421496120413192</v>
      </c>
      <c r="I20" s="4"/>
      <c r="J20" s="4"/>
    </row>
    <row r="21" spans="1:10" x14ac:dyDescent="0.2">
      <c r="A21" s="8"/>
      <c r="B21" s="12" t="s">
        <v>30</v>
      </c>
      <c r="C21" s="14">
        <f>MIN(1,C16 + 1.96 *SQRT(C19))</f>
        <v>1</v>
      </c>
      <c r="D21" s="14">
        <f t="shared" ref="D21:H21" si="12">MIN(1,D16 + 1.96 *SQRT(D19))</f>
        <v>1</v>
      </c>
      <c r="E21" s="14">
        <f t="shared" si="12"/>
        <v>1</v>
      </c>
      <c r="F21" s="14">
        <f t="shared" si="12"/>
        <v>1</v>
      </c>
      <c r="G21" s="14">
        <f t="shared" si="12"/>
        <v>0.99751891573861573</v>
      </c>
      <c r="H21" s="14">
        <f t="shared" si="12"/>
        <v>0.7993329194866059</v>
      </c>
      <c r="I21" s="4"/>
      <c r="J21" s="4"/>
    </row>
    <row r="22" spans="1:10" x14ac:dyDescent="0.2">
      <c r="B22" s="9" t="s">
        <v>26</v>
      </c>
      <c r="C22" s="10">
        <v>0.66100000000000003</v>
      </c>
      <c r="D22" s="10">
        <v>0.77100000000000002</v>
      </c>
      <c r="E22" s="10">
        <v>0.82299999999999995</v>
      </c>
      <c r="F22" s="10">
        <v>0.81899999999999995</v>
      </c>
      <c r="G22" s="10">
        <v>0.79900000000000004</v>
      </c>
      <c r="H22" s="10">
        <v>0.52600000000000002</v>
      </c>
    </row>
    <row r="23" spans="1:10" x14ac:dyDescent="0.2">
      <c r="B23" s="9" t="s">
        <v>27</v>
      </c>
      <c r="C23" s="11">
        <f>C22-C16</f>
        <v>-0.16101572551822729</v>
      </c>
      <c r="D23" s="11">
        <f t="shared" ref="D23:H23" si="13">D22-D16</f>
        <v>3.8831837505904576E-2</v>
      </c>
      <c r="E23" s="11">
        <f t="shared" si="13"/>
        <v>-0.17700000000000005</v>
      </c>
      <c r="F23" s="11">
        <f t="shared" si="13"/>
        <v>-4.2843823452598517E-2</v>
      </c>
      <c r="G23" s="11">
        <f t="shared" si="13"/>
        <v>3.9331491712707223E-2</v>
      </c>
      <c r="H23" s="11">
        <f t="shared" si="13"/>
        <v>1.4226059654631085E-2</v>
      </c>
    </row>
    <row r="24" spans="1:10" x14ac:dyDescent="0.2">
      <c r="C24" t="s">
        <v>15</v>
      </c>
    </row>
    <row r="26" spans="1:10" x14ac:dyDescent="0.2">
      <c r="C26" s="6">
        <v>2016</v>
      </c>
    </row>
    <row r="27" spans="1:10" x14ac:dyDescent="0.2">
      <c r="C27" t="s">
        <v>16</v>
      </c>
    </row>
    <row r="28" spans="1:10" x14ac:dyDescent="0.2">
      <c r="C28" t="s">
        <v>17</v>
      </c>
    </row>
    <row r="30" spans="1:10" x14ac:dyDescent="0.2">
      <c r="C30" t="s">
        <v>24</v>
      </c>
    </row>
    <row r="31" spans="1:10" x14ac:dyDescent="0.2">
      <c r="C31" t="s">
        <v>22</v>
      </c>
    </row>
    <row r="32" spans="1:10" x14ac:dyDescent="0.2">
      <c r="C32" t="s">
        <v>19</v>
      </c>
    </row>
    <row r="33" spans="3:3" x14ac:dyDescent="0.2">
      <c r="C33" t="s">
        <v>18</v>
      </c>
    </row>
    <row r="35" spans="3:3" x14ac:dyDescent="0.2">
      <c r="C35" t="s">
        <v>25</v>
      </c>
    </row>
    <row r="36" spans="3:3" x14ac:dyDescent="0.2">
      <c r="C36" t="s">
        <v>23</v>
      </c>
    </row>
    <row r="37" spans="3:3" x14ac:dyDescent="0.2">
      <c r="C37" t="s">
        <v>20</v>
      </c>
    </row>
    <row r="38" spans="3:3" x14ac:dyDescent="0.2">
      <c r="C38" t="s">
        <v>21</v>
      </c>
    </row>
  </sheetData>
  <mergeCells count="3">
    <mergeCell ref="A6:A8"/>
    <mergeCell ref="A10:A12"/>
    <mergeCell ref="A16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7C6-1F54-2C42-B5E7-8FFFF680D802}">
  <dimension ref="A2:L57"/>
  <sheetViews>
    <sheetView tabSelected="1" zoomScale="150" zoomScaleNormal="150" workbookViewId="0">
      <selection activeCell="K28" sqref="K28"/>
    </sheetView>
  </sheetViews>
  <sheetFormatPr baseColWidth="10" defaultColWidth="11.1640625" defaultRowHeight="16" x14ac:dyDescent="0.2"/>
  <cols>
    <col min="2" max="2" width="19" customWidth="1"/>
    <col min="8" max="8" width="10.5" customWidth="1"/>
    <col min="9" max="9" width="9.6640625" customWidth="1"/>
    <col min="10" max="10" width="10.6640625" customWidth="1"/>
    <col min="11" max="11" width="11.5" customWidth="1"/>
    <col min="12" max="12" width="16.1640625" customWidth="1"/>
  </cols>
  <sheetData>
    <row r="2" spans="1:12" x14ac:dyDescent="0.2"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</row>
    <row r="3" spans="1:12" x14ac:dyDescent="0.2">
      <c r="B3" t="s">
        <v>11</v>
      </c>
      <c r="C3">
        <v>2798</v>
      </c>
      <c r="D3">
        <v>2117</v>
      </c>
      <c r="E3">
        <v>1403</v>
      </c>
      <c r="F3">
        <v>1094</v>
      </c>
      <c r="G3">
        <v>1448</v>
      </c>
      <c r="H3">
        <v>2275</v>
      </c>
      <c r="J3" s="5"/>
      <c r="K3" s="5"/>
    </row>
    <row r="4" spans="1:12" x14ac:dyDescent="0.2">
      <c r="B4" t="s">
        <v>1</v>
      </c>
      <c r="C4">
        <v>138</v>
      </c>
      <c r="D4">
        <v>31</v>
      </c>
      <c r="E4">
        <v>78</v>
      </c>
      <c r="F4">
        <v>66</v>
      </c>
      <c r="G4">
        <v>275</v>
      </c>
      <c r="H4">
        <v>489</v>
      </c>
      <c r="K4" s="3"/>
    </row>
    <row r="5" spans="1:12" x14ac:dyDescent="0.2">
      <c r="B5" t="s">
        <v>4</v>
      </c>
      <c r="C5" s="2">
        <f>C4/C3</f>
        <v>4.932094353109364E-2</v>
      </c>
      <c r="D5" s="2">
        <f>D4/D3</f>
        <v>1.4643363249881908E-2</v>
      </c>
      <c r="E5" s="2">
        <f>E4/E3</f>
        <v>5.5595153243050609E-2</v>
      </c>
      <c r="F5" s="2">
        <f>F4/F3</f>
        <v>6.0329067641681902E-2</v>
      </c>
      <c r="G5" s="2">
        <f t="shared" ref="G5:H5" si="0">G4/G3</f>
        <v>0.18991712707182321</v>
      </c>
      <c r="H5" s="2">
        <f t="shared" si="0"/>
        <v>0.21494505494505495</v>
      </c>
      <c r="I5" s="2"/>
      <c r="K5" s="2"/>
      <c r="L5" s="2"/>
    </row>
    <row r="6" spans="1:12" x14ac:dyDescent="0.2">
      <c r="A6" s="15" t="s">
        <v>12</v>
      </c>
      <c r="B6" t="s">
        <v>0</v>
      </c>
      <c r="C6" s="1">
        <v>0.06</v>
      </c>
      <c r="D6" s="1">
        <v>0.02</v>
      </c>
      <c r="E6" s="1">
        <v>0.05</v>
      </c>
      <c r="F6" s="1">
        <v>7.0000000000000007E-2</v>
      </c>
      <c r="G6" s="1">
        <v>0.25</v>
      </c>
      <c r="H6" s="1">
        <v>0.42</v>
      </c>
      <c r="I6" s="1"/>
      <c r="K6" s="2"/>
      <c r="L6" s="2"/>
    </row>
    <row r="7" spans="1:12" x14ac:dyDescent="0.2">
      <c r="A7" s="15"/>
      <c r="B7" t="s">
        <v>5</v>
      </c>
      <c r="C7" s="1">
        <v>0.04</v>
      </c>
      <c r="D7" s="1">
        <v>0.01</v>
      </c>
      <c r="E7" s="1">
        <v>0.03</v>
      </c>
      <c r="F7" s="1">
        <v>0.05</v>
      </c>
      <c r="G7" s="1">
        <v>0.2</v>
      </c>
      <c r="H7" s="1">
        <v>0.35</v>
      </c>
      <c r="I7" s="1"/>
    </row>
    <row r="8" spans="1:12" x14ac:dyDescent="0.2">
      <c r="A8" s="15"/>
      <c r="B8" t="s">
        <v>6</v>
      </c>
      <c r="C8" s="1">
        <v>0.09</v>
      </c>
      <c r="D8" s="1">
        <v>0.04</v>
      </c>
      <c r="E8" s="1">
        <v>7.0000000000000007E-2</v>
      </c>
      <c r="F8" s="1">
        <v>0.1</v>
      </c>
      <c r="G8" s="1">
        <v>0.3</v>
      </c>
      <c r="H8" s="1">
        <v>0.49</v>
      </c>
      <c r="I8" s="1"/>
    </row>
    <row r="9" spans="1:12" x14ac:dyDescent="0.2">
      <c r="A9" s="7"/>
      <c r="B9" s="12" t="s">
        <v>28</v>
      </c>
      <c r="C9" s="12">
        <v>0.01</v>
      </c>
      <c r="D9" s="12">
        <v>0.01</v>
      </c>
      <c r="E9" s="12">
        <v>0.01</v>
      </c>
      <c r="F9" s="12">
        <v>0.01</v>
      </c>
      <c r="G9" s="12">
        <v>0.02</v>
      </c>
      <c r="H9" s="12">
        <v>0.03</v>
      </c>
      <c r="I9" s="1"/>
    </row>
    <row r="10" spans="1:12" x14ac:dyDescent="0.2">
      <c r="A10" s="16" t="s">
        <v>13</v>
      </c>
      <c r="B10" t="s">
        <v>2</v>
      </c>
      <c r="C10" s="3">
        <f>MIN(C4/C6,C3)</f>
        <v>2300</v>
      </c>
      <c r="D10" s="3">
        <f t="shared" ref="D10:H10" si="1">MIN(D4/D6,D3)</f>
        <v>1550</v>
      </c>
      <c r="E10" s="3">
        <f t="shared" si="1"/>
        <v>1403</v>
      </c>
      <c r="F10" s="3">
        <f t="shared" si="1"/>
        <v>942.85714285714278</v>
      </c>
      <c r="G10" s="3">
        <f t="shared" si="1"/>
        <v>1100</v>
      </c>
      <c r="H10" s="3">
        <f t="shared" si="1"/>
        <v>1164.2857142857142</v>
      </c>
      <c r="I10" s="3"/>
    </row>
    <row r="11" spans="1:12" x14ac:dyDescent="0.2">
      <c r="A11" s="16"/>
      <c r="B11" t="s">
        <v>7</v>
      </c>
      <c r="C11" s="3">
        <f>MIN(C4/C7,C3)</f>
        <v>2798</v>
      </c>
      <c r="D11" s="3">
        <f t="shared" ref="D11:H11" si="2">MIN(D4/D7,D3)</f>
        <v>2117</v>
      </c>
      <c r="E11" s="3">
        <f t="shared" si="2"/>
        <v>1403</v>
      </c>
      <c r="F11" s="3">
        <f t="shared" si="2"/>
        <v>1094</v>
      </c>
      <c r="G11" s="3">
        <f t="shared" si="2"/>
        <v>1375</v>
      </c>
      <c r="H11" s="3">
        <f t="shared" si="2"/>
        <v>1397.1428571428573</v>
      </c>
      <c r="I11" s="3"/>
    </row>
    <row r="12" spans="1:12" x14ac:dyDescent="0.2">
      <c r="A12" s="16"/>
      <c r="B12" t="s">
        <v>8</v>
      </c>
      <c r="C12" s="3">
        <f>MIN(C4/C8,C3)</f>
        <v>1533.3333333333335</v>
      </c>
      <c r="D12" s="3">
        <f t="shared" ref="D12:H12" si="3">MIN(D4/D8,D3)</f>
        <v>775</v>
      </c>
      <c r="E12" s="3">
        <f t="shared" si="3"/>
        <v>1114.2857142857142</v>
      </c>
      <c r="F12" s="3">
        <f t="shared" si="3"/>
        <v>660</v>
      </c>
      <c r="G12" s="3">
        <f t="shared" si="3"/>
        <v>916.66666666666674</v>
      </c>
      <c r="H12" s="3">
        <f t="shared" si="3"/>
        <v>997.9591836734694</v>
      </c>
      <c r="I12" s="3"/>
    </row>
    <row r="13" spans="1:12" x14ac:dyDescent="0.2">
      <c r="A13" s="8"/>
      <c r="B13" s="12" t="s">
        <v>32</v>
      </c>
      <c r="C13" s="13">
        <f>(C4/C5^2) + ((C4^2/C5^4)*(C9^2))</f>
        <v>378565.01570266753</v>
      </c>
      <c r="D13" s="13">
        <f t="shared" ref="D13:H13" si="4">(D4/D5^2) + ((D4^2/D5^4)*(D9^2))</f>
        <v>2234636.8244246622</v>
      </c>
      <c r="E13" s="13">
        <f t="shared" si="4"/>
        <v>88921.64712822155</v>
      </c>
      <c r="F13" s="13">
        <f t="shared" si="4"/>
        <v>51017.63477722682</v>
      </c>
      <c r="G13" s="13">
        <f t="shared" si="4"/>
        <v>30876.835245572227</v>
      </c>
      <c r="H13" s="13">
        <f t="shared" si="4"/>
        <v>111404.95962948674</v>
      </c>
      <c r="I13" s="3" t="s">
        <v>31</v>
      </c>
    </row>
    <row r="14" spans="1:12" x14ac:dyDescent="0.2">
      <c r="A14" s="8"/>
      <c r="B14" s="12" t="s">
        <v>29</v>
      </c>
      <c r="C14" s="13">
        <f>MAX(C4,C$10 - 1.96*SQRT(C$13))</f>
        <v>1094.0583080748193</v>
      </c>
      <c r="D14" s="13">
        <f>MAX(D4,D$10 - 1.96*SQRT(D$13))</f>
        <v>31</v>
      </c>
      <c r="E14" s="13">
        <f t="shared" ref="E14:H14" si="5">MAX(E4,E$10 - 1.96*SQRT(E$13))</f>
        <v>818.53323481332495</v>
      </c>
      <c r="F14" s="13">
        <f t="shared" si="5"/>
        <v>500.15030333442371</v>
      </c>
      <c r="G14" s="13">
        <f t="shared" si="5"/>
        <v>755.59261001048435</v>
      </c>
      <c r="H14" s="13">
        <f t="shared" si="5"/>
        <v>510.08903673939994</v>
      </c>
      <c r="I14" s="3"/>
    </row>
    <row r="15" spans="1:12" x14ac:dyDescent="0.2">
      <c r="A15" s="8"/>
      <c r="B15" s="12" t="s">
        <v>30</v>
      </c>
      <c r="C15" s="13">
        <f t="shared" ref="C15:H15" si="6">MIN(C3,C$10 + 1.96*SQRT(C$13))</f>
        <v>2798</v>
      </c>
      <c r="D15" s="13">
        <f t="shared" si="6"/>
        <v>2117</v>
      </c>
      <c r="E15" s="13">
        <f t="shared" si="6"/>
        <v>1403</v>
      </c>
      <c r="F15" s="13">
        <f t="shared" si="6"/>
        <v>1094</v>
      </c>
      <c r="G15" s="13">
        <f t="shared" si="6"/>
        <v>1444.4073899895157</v>
      </c>
      <c r="H15" s="13">
        <f t="shared" si="6"/>
        <v>1818.4823918320285</v>
      </c>
      <c r="I15" s="3"/>
    </row>
    <row r="16" spans="1:12" x14ac:dyDescent="0.2">
      <c r="A16" s="16" t="s">
        <v>14</v>
      </c>
      <c r="B16" t="s">
        <v>3</v>
      </c>
      <c r="C16" s="17">
        <f>C10/C3</f>
        <v>0.82201572551822732</v>
      </c>
      <c r="D16" s="17">
        <f t="shared" ref="D16:H16" si="7">D10/D3</f>
        <v>0.73216816249409544</v>
      </c>
      <c r="E16" s="17">
        <f t="shared" si="7"/>
        <v>1</v>
      </c>
      <c r="F16" s="17">
        <f>F10/F3</f>
        <v>0.86184382345259847</v>
      </c>
      <c r="G16" s="17">
        <f t="shared" si="7"/>
        <v>0.75966850828729282</v>
      </c>
      <c r="H16" s="17">
        <f t="shared" si="7"/>
        <v>0.51177394034536894</v>
      </c>
      <c r="I16" s="4"/>
      <c r="K16" s="4"/>
      <c r="L16" s="2"/>
    </row>
    <row r="17" spans="1:10" x14ac:dyDescent="0.2">
      <c r="A17" s="16"/>
      <c r="B17" t="s">
        <v>9</v>
      </c>
      <c r="C17" s="4">
        <f t="shared" ref="C17:H17" si="8">C11/C3</f>
        <v>1</v>
      </c>
      <c r="D17" s="4">
        <f t="shared" si="8"/>
        <v>1</v>
      </c>
      <c r="E17" s="4">
        <f t="shared" si="8"/>
        <v>1</v>
      </c>
      <c r="F17" s="4">
        <f t="shared" si="8"/>
        <v>1</v>
      </c>
      <c r="G17" s="4">
        <f t="shared" si="8"/>
        <v>0.949585635359116</v>
      </c>
      <c r="H17" s="4">
        <f t="shared" si="8"/>
        <v>0.61412872841444277</v>
      </c>
      <c r="I17" s="4"/>
      <c r="J17" s="4"/>
    </row>
    <row r="18" spans="1:10" x14ac:dyDescent="0.2">
      <c r="A18" s="16"/>
      <c r="B18" t="s">
        <v>10</v>
      </c>
      <c r="C18" s="4">
        <f t="shared" ref="C18:H18" si="9">C12/C3</f>
        <v>0.54801048367881822</v>
      </c>
      <c r="D18" s="4">
        <f t="shared" si="9"/>
        <v>0.36608408124704772</v>
      </c>
      <c r="E18" s="4">
        <f t="shared" si="9"/>
        <v>0.79421647490072289</v>
      </c>
      <c r="F18" s="4">
        <f t="shared" si="9"/>
        <v>0.60329067641681899</v>
      </c>
      <c r="G18" s="4">
        <f t="shared" si="9"/>
        <v>0.6330570902394107</v>
      </c>
      <c r="H18" s="4">
        <f t="shared" si="9"/>
        <v>0.43866337743888767</v>
      </c>
      <c r="I18" s="4"/>
      <c r="J18" s="4"/>
    </row>
    <row r="19" spans="1:10" x14ac:dyDescent="0.2">
      <c r="A19" s="8"/>
      <c r="B19" s="12" t="s">
        <v>33</v>
      </c>
      <c r="C19" s="12">
        <f>C13/C3^2</f>
        <v>4.8355408527620249E-2</v>
      </c>
      <c r="D19" s="12">
        <f t="shared" ref="D19:H19" si="10">D13/D3^2</f>
        <v>0.49861488033298657</v>
      </c>
      <c r="E19" s="12">
        <f t="shared" si="10"/>
        <v>4.5174375410913868E-2</v>
      </c>
      <c r="F19" s="12">
        <f t="shared" si="10"/>
        <v>4.2627089072543624E-2</v>
      </c>
      <c r="G19" s="12">
        <f t="shared" si="10"/>
        <v>1.4726368264462808E-2</v>
      </c>
      <c r="H19" s="12">
        <f t="shared" si="10"/>
        <v>2.1524928801736357E-2</v>
      </c>
      <c r="I19" s="4"/>
      <c r="J19" s="4"/>
    </row>
    <row r="20" spans="1:10" x14ac:dyDescent="0.2">
      <c r="A20" s="8"/>
      <c r="B20" s="12" t="s">
        <v>29</v>
      </c>
      <c r="C20" s="17">
        <f>MAX(0,C16 - 1.96*SQRT(C19))</f>
        <v>0.3910144060310291</v>
      </c>
      <c r="D20" s="17">
        <f t="shared" ref="D20:H20" si="11">MAX(0,D16 - 1.96*SQRT(D19))</f>
        <v>0</v>
      </c>
      <c r="E20" s="17">
        <f t="shared" si="11"/>
        <v>0.5834164182561119</v>
      </c>
      <c r="F20" s="17">
        <f t="shared" si="11"/>
        <v>0.45717578001318432</v>
      </c>
      <c r="G20" s="17">
        <f t="shared" si="11"/>
        <v>0.52181810083596991</v>
      </c>
      <c r="H20" s="17">
        <f t="shared" si="11"/>
        <v>0.22421496120413192</v>
      </c>
      <c r="I20" s="4" t="s">
        <v>38</v>
      </c>
      <c r="J20" s="4"/>
    </row>
    <row r="21" spans="1:10" x14ac:dyDescent="0.2">
      <c r="A21" s="8"/>
      <c r="B21" s="12" t="s">
        <v>30</v>
      </c>
      <c r="C21" s="17">
        <f>MIN(1,C16 + 1.96 *SQRT(C19))</f>
        <v>1</v>
      </c>
      <c r="D21" s="17">
        <f t="shared" ref="D21:H21" si="12">MIN(1,D16 + 1.96 *SQRT(D19))</f>
        <v>1</v>
      </c>
      <c r="E21" s="17">
        <f t="shared" si="12"/>
        <v>1</v>
      </c>
      <c r="F21" s="17">
        <f t="shared" si="12"/>
        <v>1</v>
      </c>
      <c r="G21" s="17">
        <f t="shared" si="12"/>
        <v>0.99751891573861573</v>
      </c>
      <c r="H21" s="17">
        <f t="shared" si="12"/>
        <v>0.7993329194866059</v>
      </c>
      <c r="I21" s="4"/>
      <c r="J21" s="4"/>
    </row>
    <row r="22" spans="1:10" x14ac:dyDescent="0.2">
      <c r="B22" s="9" t="s">
        <v>26</v>
      </c>
      <c r="C22" s="10">
        <v>0.66100000000000003</v>
      </c>
      <c r="D22" s="10">
        <v>0.77100000000000002</v>
      </c>
      <c r="E22" s="10">
        <v>0.82299999999999995</v>
      </c>
      <c r="F22" s="10">
        <v>0.81899999999999995</v>
      </c>
      <c r="G22" s="10">
        <v>0.79900000000000004</v>
      </c>
      <c r="H22" s="10">
        <v>0.52600000000000002</v>
      </c>
    </row>
    <row r="23" spans="1:10" x14ac:dyDescent="0.2">
      <c r="B23" s="9" t="s">
        <v>27</v>
      </c>
      <c r="C23" s="11">
        <f>C22-C16</f>
        <v>-0.16101572551822729</v>
      </c>
      <c r="D23" s="11">
        <f t="shared" ref="D23:H23" si="13">D22-D16</f>
        <v>3.8831837505904576E-2</v>
      </c>
      <c r="E23" s="11">
        <f t="shared" si="13"/>
        <v>-0.17700000000000005</v>
      </c>
      <c r="F23" s="11">
        <f t="shared" si="13"/>
        <v>-4.2843823452598517E-2</v>
      </c>
      <c r="G23" s="11">
        <f t="shared" si="13"/>
        <v>3.9331491712707223E-2</v>
      </c>
      <c r="H23" s="11">
        <f t="shared" si="13"/>
        <v>1.4226059654631085E-2</v>
      </c>
    </row>
    <row r="25" spans="1:10" x14ac:dyDescent="0.2">
      <c r="B25" t="s">
        <v>34</v>
      </c>
      <c r="C25" s="19">
        <v>82.2</v>
      </c>
      <c r="D25" s="19">
        <v>73.22</v>
      </c>
      <c r="E25" s="19">
        <v>100</v>
      </c>
      <c r="F25" s="19">
        <v>86.18</v>
      </c>
      <c r="G25" s="19">
        <v>75.97</v>
      </c>
      <c r="H25" s="19">
        <v>51.18</v>
      </c>
    </row>
    <row r="26" spans="1:10" x14ac:dyDescent="0.2">
      <c r="B26" t="s">
        <v>35</v>
      </c>
      <c r="C26">
        <v>82.37</v>
      </c>
      <c r="D26">
        <v>73.22</v>
      </c>
      <c r="E26">
        <v>95.93</v>
      </c>
      <c r="F26">
        <v>85.51</v>
      </c>
      <c r="G26">
        <v>76.78</v>
      </c>
      <c r="H26">
        <v>51.28</v>
      </c>
    </row>
    <row r="27" spans="1:10" x14ac:dyDescent="0.2">
      <c r="B27" t="s">
        <v>36</v>
      </c>
      <c r="C27" s="19">
        <v>55.36</v>
      </c>
      <c r="D27" s="19">
        <v>38.35</v>
      </c>
      <c r="E27" s="19">
        <v>72.3</v>
      </c>
      <c r="F27" s="19">
        <v>61.23</v>
      </c>
      <c r="G27" s="19">
        <v>63.12</v>
      </c>
      <c r="H27" s="19">
        <v>43.66</v>
      </c>
      <c r="I27" t="s">
        <v>39</v>
      </c>
    </row>
    <row r="28" spans="1:10" x14ac:dyDescent="0.2">
      <c r="B28" t="s">
        <v>37</v>
      </c>
      <c r="C28" s="19">
        <v>100</v>
      </c>
      <c r="D28" s="19">
        <v>100</v>
      </c>
      <c r="E28" s="19">
        <v>100</v>
      </c>
      <c r="F28" s="19">
        <v>100</v>
      </c>
      <c r="G28" s="19">
        <v>92.55</v>
      </c>
      <c r="H28" s="19">
        <v>60.18</v>
      </c>
    </row>
    <row r="43" spans="3:3" x14ac:dyDescent="0.2">
      <c r="C43" t="s">
        <v>15</v>
      </c>
    </row>
    <row r="45" spans="3:3" x14ac:dyDescent="0.2">
      <c r="C45" s="6">
        <v>2016</v>
      </c>
    </row>
    <row r="46" spans="3:3" x14ac:dyDescent="0.2">
      <c r="C46" t="s">
        <v>16</v>
      </c>
    </row>
    <row r="47" spans="3:3" x14ac:dyDescent="0.2">
      <c r="C47" t="s">
        <v>17</v>
      </c>
    </row>
    <row r="49" spans="3:3" x14ac:dyDescent="0.2">
      <c r="C49" t="s">
        <v>24</v>
      </c>
    </row>
    <row r="50" spans="3:3" x14ac:dyDescent="0.2">
      <c r="C50" t="s">
        <v>22</v>
      </c>
    </row>
    <row r="51" spans="3:3" x14ac:dyDescent="0.2">
      <c r="C51" t="s">
        <v>19</v>
      </c>
    </row>
    <row r="52" spans="3:3" x14ac:dyDescent="0.2">
      <c r="C52" t="s">
        <v>18</v>
      </c>
    </row>
    <row r="54" spans="3:3" x14ac:dyDescent="0.2">
      <c r="C54" t="s">
        <v>25</v>
      </c>
    </row>
    <row r="55" spans="3:3" x14ac:dyDescent="0.2">
      <c r="C55" t="s">
        <v>23</v>
      </c>
    </row>
    <row r="56" spans="3:3" x14ac:dyDescent="0.2">
      <c r="C56" t="s">
        <v>20</v>
      </c>
    </row>
    <row r="57" spans="3:3" x14ac:dyDescent="0.2">
      <c r="C57" t="s">
        <v>21</v>
      </c>
    </row>
  </sheetData>
  <mergeCells count="3">
    <mergeCell ref="A6:A8"/>
    <mergeCell ref="A10:A12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ma edits</vt:lpstr>
      <vt:lpstr>rk edits - delta</vt:lpstr>
      <vt:lpstr>bs - bootstrapping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Jenkins, Laura (ljenkins@uidaho.edu)</dc:creator>
  <cp:lastModifiedBy>Jenkins, Laura (ljenkins@uidaho.edu)</cp:lastModifiedBy>
  <dcterms:created xsi:type="dcterms:W3CDTF">2025-06-13T16:02:23Z</dcterms:created>
  <dcterms:modified xsi:type="dcterms:W3CDTF">2025-09-26T18:07:23Z</dcterms:modified>
</cp:coreProperties>
</file>